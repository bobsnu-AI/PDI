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5230" windowHeight="5865" tabRatio="712"/>
  </bookViews>
  <sheets>
    <sheet name="1. 곡류 및 그제품" sheetId="16" r:id="rId1"/>
    <sheet name="2. 감자 및 전분류" sheetId="17" r:id="rId2"/>
    <sheet name="3. 두류" sheetId="18" r:id="rId3"/>
    <sheet name="4. 채소류" sheetId="22" r:id="rId4"/>
    <sheet name="5. 과일류" sheetId="19" r:id="rId5"/>
    <sheet name="6. 차류" sheetId="20" r:id="rId6"/>
    <sheet name="7. 기타" sheetId="21" r:id="rId7"/>
  </sheets>
  <definedNames>
    <definedName name="_xlnm._FilterDatabase" localSheetId="0" hidden="1">'1. 곡류 및 그제품'!$A$1:$AB$8</definedName>
    <definedName name="_xlnm._FilterDatabase" localSheetId="1" hidden="1">'2. 감자 및 전분류'!$A$1:$IS$44</definedName>
    <definedName name="_xlnm._FilterDatabase" localSheetId="2" hidden="1">'3. 두류'!$A$1:$E$1</definedName>
    <definedName name="_xlnm._FilterDatabase" localSheetId="3" hidden="1">'4. 채소류'!$A$1:$CB$87</definedName>
    <definedName name="_xlnm._FilterDatabase" localSheetId="4" hidden="1">'5. 과일류'!$A$1:$BX$27</definedName>
    <definedName name="_xlnm._FilterDatabase" localSheetId="5" hidden="1">'6. 차류'!$A$1:$BC$60</definedName>
    <definedName name="_xlnm._FilterDatabase" localSheetId="6" hidden="1">'7. 기타'!$A$1:$W$47</definedName>
  </definedNames>
  <calcPr calcId="145621"/>
</workbook>
</file>

<file path=xl/calcChain.xml><?xml version="1.0" encoding="utf-8"?>
<calcChain xmlns="http://schemas.openxmlformats.org/spreadsheetml/2006/main">
  <c r="B87" i="22" l="1"/>
  <c r="BR87" i="22"/>
  <c r="BN27" i="19" l="1"/>
  <c r="AI27" i="19"/>
  <c r="N27" i="19"/>
  <c r="C27" i="19"/>
  <c r="W44" i="17"/>
  <c r="C47" i="21" l="1"/>
  <c r="C60" i="20"/>
  <c r="G27" i="19"/>
  <c r="B27" i="19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B44" i="17"/>
  <c r="T8" i="16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B47" i="21"/>
  <c r="B60" i="20"/>
  <c r="D60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K27" i="19"/>
  <c r="BL27" i="19"/>
  <c r="BM27" i="19"/>
  <c r="BO27" i="19"/>
  <c r="BP27" i="19"/>
  <c r="BQ27" i="19"/>
  <c r="BR27" i="19"/>
  <c r="BS27" i="19"/>
  <c r="BT27" i="19"/>
  <c r="BU27" i="19"/>
  <c r="BV27" i="19"/>
  <c r="BW27" i="19"/>
  <c r="BX27" i="19"/>
  <c r="Y8" i="16"/>
  <c r="V8" i="16"/>
  <c r="U8" i="16"/>
  <c r="K8" i="16"/>
  <c r="J8" i="16"/>
  <c r="C87" i="22"/>
  <c r="D87" i="22"/>
  <c r="E87" i="22"/>
  <c r="F87" i="22"/>
  <c r="G87" i="22"/>
  <c r="H87" i="22"/>
  <c r="I87" i="22"/>
  <c r="J87" i="22"/>
  <c r="K87" i="22"/>
  <c r="L87" i="22"/>
  <c r="M87" i="22"/>
  <c r="N87" i="22"/>
  <c r="O87" i="22"/>
  <c r="P87" i="22"/>
  <c r="Q87" i="22"/>
  <c r="R87" i="22"/>
  <c r="S87" i="22"/>
  <c r="T87" i="22"/>
  <c r="U87" i="22"/>
  <c r="V87" i="22"/>
  <c r="W87" i="22"/>
  <c r="X87" i="22"/>
  <c r="Y87" i="22"/>
  <c r="Z87" i="22"/>
  <c r="AA87" i="22"/>
  <c r="AB87" i="22"/>
  <c r="AC87" i="22"/>
  <c r="AD87" i="22"/>
  <c r="AE87" i="22"/>
  <c r="AF87" i="22"/>
  <c r="AG87" i="22"/>
  <c r="AH87" i="22"/>
  <c r="AI87" i="22"/>
  <c r="AJ87" i="22"/>
  <c r="AK87" i="22"/>
  <c r="AL87" i="22"/>
  <c r="AM87" i="22"/>
  <c r="AN87" i="22"/>
  <c r="AO87" i="22"/>
  <c r="AP87" i="22"/>
  <c r="AQ87" i="22"/>
  <c r="AR87" i="22"/>
  <c r="AS87" i="22"/>
  <c r="AT87" i="22"/>
  <c r="AU87" i="22"/>
  <c r="AV87" i="22"/>
  <c r="AW87" i="22"/>
  <c r="AX87" i="22"/>
  <c r="AY87" i="22"/>
  <c r="AZ87" i="22"/>
  <c r="BA87" i="22"/>
  <c r="BB87" i="22"/>
  <c r="BC87" i="22"/>
  <c r="BD87" i="22"/>
  <c r="BE87" i="22"/>
  <c r="BF87" i="22"/>
  <c r="BG87" i="22"/>
  <c r="BH87" i="22"/>
  <c r="BI87" i="22"/>
  <c r="BJ87" i="22"/>
  <c r="BK87" i="22"/>
  <c r="BL87" i="22"/>
  <c r="BM87" i="22"/>
  <c r="BN87" i="22"/>
  <c r="BO87" i="22"/>
  <c r="BP87" i="22"/>
  <c r="BQ87" i="22"/>
  <c r="BS87" i="22"/>
  <c r="BT87" i="22"/>
  <c r="BU87" i="22"/>
  <c r="BV87" i="22"/>
  <c r="BW87" i="22"/>
  <c r="BX87" i="22"/>
  <c r="BY87" i="22"/>
  <c r="BZ87" i="22"/>
  <c r="CA87" i="22"/>
  <c r="CB87" i="22"/>
  <c r="C8" i="16" l="1"/>
  <c r="D8" i="16"/>
  <c r="E8" i="16"/>
  <c r="F8" i="16"/>
  <c r="G8" i="16"/>
  <c r="H8" i="16"/>
  <c r="I8" i="16"/>
  <c r="L8" i="16"/>
  <c r="M8" i="16"/>
  <c r="N8" i="16"/>
  <c r="O8" i="16"/>
  <c r="P8" i="16"/>
  <c r="Q8" i="16"/>
  <c r="R8" i="16"/>
  <c r="S8" i="16"/>
  <c r="W8" i="16"/>
  <c r="X8" i="16"/>
  <c r="Z8" i="16"/>
  <c r="AA8" i="16"/>
  <c r="AB8" i="16"/>
  <c r="B8" i="16"/>
  <c r="AF27" i="19" l="1"/>
  <c r="F27" i="19"/>
  <c r="D27" i="19"/>
  <c r="E27" i="19"/>
  <c r="H27" i="19"/>
  <c r="I27" i="19"/>
  <c r="J27" i="19"/>
  <c r="K27" i="19"/>
  <c r="L27" i="19"/>
  <c r="M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G27" i="19"/>
  <c r="AH27" i="19"/>
  <c r="AJ27" i="19"/>
  <c r="AK27" i="19"/>
  <c r="AL27" i="19"/>
  <c r="AM27" i="19"/>
  <c r="AN27" i="19"/>
  <c r="AO27" i="19"/>
  <c r="AP27" i="19"/>
  <c r="AQ27" i="19"/>
  <c r="AR27" i="19"/>
  <c r="AS27" i="19"/>
  <c r="AT27" i="19"/>
  <c r="AU27" i="19"/>
  <c r="AV27" i="19"/>
  <c r="AW27" i="19"/>
  <c r="AX27" i="19"/>
  <c r="AY27" i="19"/>
  <c r="AZ27" i="19"/>
  <c r="BA27" i="19"/>
  <c r="BB27" i="19"/>
  <c r="BC27" i="19"/>
  <c r="BD27" i="19"/>
  <c r="BE27" i="19"/>
  <c r="BF27" i="19"/>
  <c r="BG27" i="19"/>
  <c r="BH27" i="19"/>
  <c r="BI27" i="19"/>
  <c r="BJ27" i="19"/>
  <c r="B3" i="18"/>
  <c r="L3" i="18"/>
  <c r="F3" i="18"/>
  <c r="G3" i="18"/>
  <c r="H3" i="18"/>
  <c r="I3" i="18"/>
  <c r="J3" i="18"/>
  <c r="K3" i="18"/>
  <c r="E3" i="18"/>
  <c r="D3" i="18"/>
  <c r="C3" i="18"/>
</calcChain>
</file>

<file path=xl/sharedStrings.xml><?xml version="1.0" encoding="utf-8"?>
<sst xmlns="http://schemas.openxmlformats.org/spreadsheetml/2006/main" count="595" uniqueCount="558">
  <si>
    <t>흑미(증자)</t>
    <phoneticPr fontId="3" type="noConversion"/>
  </si>
  <si>
    <t>흑미(가수)</t>
    <phoneticPr fontId="3" type="noConversion"/>
  </si>
  <si>
    <t>흑미(무수)</t>
    <phoneticPr fontId="3" type="noConversion"/>
  </si>
  <si>
    <t>흑미(무처리)</t>
    <phoneticPr fontId="3" type="noConversion"/>
  </si>
  <si>
    <t>메밀(껍질제거)</t>
    <phoneticPr fontId="3" type="noConversion"/>
  </si>
  <si>
    <t>밀(알곡)</t>
    <phoneticPr fontId="3" type="noConversion"/>
  </si>
  <si>
    <t>메밀(껍질포함)</t>
    <phoneticPr fontId="3" type="noConversion"/>
  </si>
  <si>
    <t>달단메밀(생것)</t>
    <phoneticPr fontId="3" type="noConversion"/>
  </si>
  <si>
    <t>달단메밀(볶은것)</t>
    <phoneticPr fontId="3" type="noConversion"/>
  </si>
  <si>
    <t>밀(금강)</t>
    <phoneticPr fontId="3" type="noConversion"/>
  </si>
  <si>
    <t>밀(조경)</t>
    <phoneticPr fontId="3" type="noConversion"/>
  </si>
  <si>
    <t>밀(조풍)</t>
    <phoneticPr fontId="3" type="noConversion"/>
  </si>
  <si>
    <t>검은보리</t>
    <phoneticPr fontId="3" type="noConversion"/>
  </si>
  <si>
    <t>겉보리</t>
    <phoneticPr fontId="3" type="noConversion"/>
  </si>
  <si>
    <t>새쌀보리</t>
    <phoneticPr fontId="3" type="noConversion"/>
  </si>
  <si>
    <t>서둔찰보리</t>
    <phoneticPr fontId="3" type="noConversion"/>
  </si>
  <si>
    <t>찰보리</t>
    <phoneticPr fontId="3" type="noConversion"/>
  </si>
  <si>
    <t>ferulic acid</t>
    <phoneticPr fontId="3" type="noConversion"/>
  </si>
  <si>
    <t>쌀(백미)</t>
    <phoneticPr fontId="3" type="noConversion"/>
  </si>
  <si>
    <t>쌀(현미)</t>
    <phoneticPr fontId="3" type="noConversion"/>
  </si>
  <si>
    <t>찹쌀현미(화선)</t>
    <phoneticPr fontId="3" type="noConversion"/>
  </si>
  <si>
    <t>홍국쌀</t>
    <phoneticPr fontId="3" type="noConversion"/>
  </si>
  <si>
    <r>
      <t>흑미(볶음 170</t>
    </r>
    <r>
      <rPr>
        <b/>
        <sz val="10"/>
        <rFont val="맑은 고딕"/>
        <family val="3"/>
        <charset val="129"/>
      </rPr>
      <t>℃</t>
    </r>
    <r>
      <rPr>
        <b/>
        <sz val="10"/>
        <rFont val="맑은 고딕"/>
        <family val="3"/>
        <charset val="129"/>
        <scheme val="major"/>
      </rPr>
      <t>)</t>
    </r>
    <phoneticPr fontId="3" type="noConversion"/>
  </si>
  <si>
    <r>
      <t>흑미(볶음 190</t>
    </r>
    <r>
      <rPr>
        <b/>
        <sz val="10"/>
        <rFont val="맑은 고딕"/>
        <family val="3"/>
        <charset val="129"/>
      </rPr>
      <t>℃</t>
    </r>
    <r>
      <rPr>
        <b/>
        <sz val="10"/>
        <rFont val="맑은 고딕"/>
        <family val="3"/>
        <charset val="129"/>
        <scheme val="major"/>
      </rPr>
      <t>)</t>
    </r>
    <phoneticPr fontId="3" type="noConversion"/>
  </si>
  <si>
    <t>옥수수(알곡)</t>
    <phoneticPr fontId="3" type="noConversion"/>
  </si>
  <si>
    <t>찰옥수수(알곡)</t>
    <phoneticPr fontId="3" type="noConversion"/>
  </si>
  <si>
    <t>옥수수(수염)</t>
    <phoneticPr fontId="3" type="noConversion"/>
  </si>
  <si>
    <t>vanillic acid</t>
    <phoneticPr fontId="3" type="noConversion"/>
  </si>
  <si>
    <t>0.00</t>
  </si>
  <si>
    <t>caffeic acid</t>
    <phoneticPr fontId="3" type="noConversion"/>
  </si>
  <si>
    <t>자색고구마(껍질)</t>
    <phoneticPr fontId="3" type="noConversion"/>
  </si>
  <si>
    <t>자색고구마(알맹이)</t>
    <phoneticPr fontId="3" type="noConversion"/>
  </si>
  <si>
    <t>자색고구마(전체)</t>
    <phoneticPr fontId="3" type="noConversion"/>
  </si>
  <si>
    <t>밤고구마(껍질)</t>
    <phoneticPr fontId="3" type="noConversion"/>
  </si>
  <si>
    <t>밤고구마(알맹이)</t>
    <phoneticPr fontId="3" type="noConversion"/>
  </si>
  <si>
    <t>밤고구마(전체)</t>
    <phoneticPr fontId="3" type="noConversion"/>
  </si>
  <si>
    <t>호박고구마(껍질)</t>
    <phoneticPr fontId="3" type="noConversion"/>
  </si>
  <si>
    <t>호박고구마(알맹이)</t>
    <phoneticPr fontId="3" type="noConversion"/>
  </si>
  <si>
    <t>호박고구마(전체)</t>
    <phoneticPr fontId="3" type="noConversion"/>
  </si>
  <si>
    <t>새봉(알맹이)</t>
    <phoneticPr fontId="3" type="noConversion"/>
  </si>
  <si>
    <t>새봉(전체)</t>
    <phoneticPr fontId="3" type="noConversion"/>
  </si>
  <si>
    <t>수미(알맹이)</t>
    <phoneticPr fontId="3" type="noConversion"/>
  </si>
  <si>
    <t>수미(전체)</t>
    <phoneticPr fontId="3" type="noConversion"/>
  </si>
  <si>
    <t>대지(알맹이)</t>
    <phoneticPr fontId="3" type="noConversion"/>
  </si>
  <si>
    <t>대지(껍질)</t>
    <phoneticPr fontId="3" type="noConversion"/>
  </si>
  <si>
    <t>대지(전체)</t>
    <phoneticPr fontId="3" type="noConversion"/>
  </si>
  <si>
    <t>조풍(알맹이)</t>
    <phoneticPr fontId="3" type="noConversion"/>
  </si>
  <si>
    <t>조풍(껍질)</t>
    <phoneticPr fontId="3" type="noConversion"/>
  </si>
  <si>
    <t>조풍(전체)</t>
    <phoneticPr fontId="3" type="noConversion"/>
  </si>
  <si>
    <t>남서(알맹이)</t>
    <phoneticPr fontId="3" type="noConversion"/>
  </si>
  <si>
    <t>남서(껍질)</t>
    <phoneticPr fontId="3" type="noConversion"/>
  </si>
  <si>
    <t>남서(전체)</t>
    <phoneticPr fontId="3" type="noConversion"/>
  </si>
  <si>
    <t>조원(알맹이)</t>
    <phoneticPr fontId="3" type="noConversion"/>
  </si>
  <si>
    <t>조원(전체)</t>
    <phoneticPr fontId="3" type="noConversion"/>
  </si>
  <si>
    <t>서홍(알맹이)</t>
    <phoneticPr fontId="3" type="noConversion"/>
  </si>
  <si>
    <t>서홍(껍질)</t>
    <phoneticPr fontId="3" type="noConversion"/>
  </si>
  <si>
    <t>서홍(전체)</t>
    <phoneticPr fontId="3" type="noConversion"/>
  </si>
  <si>
    <t>홍영(알맹이)</t>
    <phoneticPr fontId="3" type="noConversion"/>
  </si>
  <si>
    <t>홍영(껍질)</t>
    <phoneticPr fontId="3" type="noConversion"/>
  </si>
  <si>
    <t>홍영(전체)</t>
    <phoneticPr fontId="3" type="noConversion"/>
  </si>
  <si>
    <t>자영(알맹이)</t>
    <phoneticPr fontId="3" type="noConversion"/>
  </si>
  <si>
    <t>자영(전체)</t>
    <phoneticPr fontId="3" type="noConversion"/>
  </si>
  <si>
    <t>야콘</t>
    <phoneticPr fontId="3" type="noConversion"/>
  </si>
  <si>
    <t>조원(껍질)</t>
    <phoneticPr fontId="3" type="noConversion"/>
  </si>
  <si>
    <t>자영(껍질)</t>
    <phoneticPr fontId="3" type="noConversion"/>
  </si>
  <si>
    <t>새봉(껍질)</t>
    <phoneticPr fontId="3" type="noConversion"/>
  </si>
  <si>
    <t>수미(껍질)</t>
    <phoneticPr fontId="3" type="noConversion"/>
  </si>
  <si>
    <t>페놀산 성분명</t>
    <phoneticPr fontId="3" type="noConversion"/>
  </si>
  <si>
    <t>총 페놀산 함량(mg/100g dry weight)</t>
    <phoneticPr fontId="3" type="noConversion"/>
  </si>
  <si>
    <t>대원(무처리)</t>
    <phoneticPr fontId="3" type="noConversion"/>
  </si>
  <si>
    <t>대원(침지)</t>
    <phoneticPr fontId="3" type="noConversion"/>
  </si>
  <si>
    <t>대풍</t>
    <phoneticPr fontId="3" type="noConversion"/>
  </si>
  <si>
    <t>선유</t>
    <phoneticPr fontId="3" type="noConversion"/>
  </si>
  <si>
    <t>서리태(무처리)</t>
    <phoneticPr fontId="3" type="noConversion"/>
  </si>
  <si>
    <t>서리태(침지)</t>
    <phoneticPr fontId="3" type="noConversion"/>
  </si>
  <si>
    <t>서리태(침지후삶음)</t>
    <phoneticPr fontId="3" type="noConversion"/>
  </si>
  <si>
    <t>대원(침지후삶음)</t>
    <phoneticPr fontId="3" type="noConversion"/>
  </si>
  <si>
    <t>서목태</t>
    <phoneticPr fontId="3" type="noConversion"/>
  </si>
  <si>
    <t>흑태</t>
    <phoneticPr fontId="3" type="noConversion"/>
  </si>
  <si>
    <t>콩나물</t>
    <phoneticPr fontId="3" type="noConversion"/>
  </si>
  <si>
    <t>라임(과육)</t>
    <phoneticPr fontId="3" type="noConversion"/>
  </si>
  <si>
    <t>라임(과피)</t>
    <phoneticPr fontId="3" type="noConversion"/>
  </si>
  <si>
    <t>라임(전체)</t>
    <phoneticPr fontId="3" type="noConversion"/>
  </si>
  <si>
    <t>레드향(과육)</t>
    <phoneticPr fontId="3" type="noConversion"/>
  </si>
  <si>
    <t>레드향(과피)</t>
    <phoneticPr fontId="3" type="noConversion"/>
  </si>
  <si>
    <t>레드향(전체)</t>
    <phoneticPr fontId="3" type="noConversion"/>
  </si>
  <si>
    <t>천혜향(과육)</t>
    <phoneticPr fontId="3" type="noConversion"/>
  </si>
  <si>
    <t>천혜향(과피)</t>
    <phoneticPr fontId="3" type="noConversion"/>
  </si>
  <si>
    <t>천혜향(전체)</t>
    <phoneticPr fontId="3" type="noConversion"/>
  </si>
  <si>
    <t>황금향(과육)</t>
    <phoneticPr fontId="3" type="noConversion"/>
  </si>
  <si>
    <t>황금향(과피)</t>
    <phoneticPr fontId="3" type="noConversion"/>
  </si>
  <si>
    <t>황금향(전체)</t>
    <phoneticPr fontId="3" type="noConversion"/>
  </si>
  <si>
    <t>한라봉(과육)</t>
    <phoneticPr fontId="3" type="noConversion"/>
  </si>
  <si>
    <t>한라봉(과피)</t>
    <phoneticPr fontId="3" type="noConversion"/>
  </si>
  <si>
    <t>한라봉(전체)</t>
    <phoneticPr fontId="3" type="noConversion"/>
  </si>
  <si>
    <t>레몬(과육)</t>
    <phoneticPr fontId="3" type="noConversion"/>
  </si>
  <si>
    <t>레몬(과피)</t>
    <phoneticPr fontId="3" type="noConversion"/>
  </si>
  <si>
    <t>레몬(전체)</t>
    <phoneticPr fontId="3" type="noConversion"/>
  </si>
  <si>
    <t>자몽(과육)</t>
    <phoneticPr fontId="3" type="noConversion"/>
  </si>
  <si>
    <t>자몽(과피)</t>
    <phoneticPr fontId="3" type="noConversion"/>
  </si>
  <si>
    <t>자몽(전체)</t>
    <phoneticPr fontId="3" type="noConversion"/>
  </si>
  <si>
    <t>오렌지(과육)</t>
    <phoneticPr fontId="3" type="noConversion"/>
  </si>
  <si>
    <t>오렌지(과피)</t>
    <phoneticPr fontId="3" type="noConversion"/>
  </si>
  <si>
    <t>오렌지(전체)</t>
    <phoneticPr fontId="3" type="noConversion"/>
  </si>
  <si>
    <t>감귤(과육)</t>
    <phoneticPr fontId="3" type="noConversion"/>
  </si>
  <si>
    <t>감귤(과피)</t>
    <phoneticPr fontId="3" type="noConversion"/>
  </si>
  <si>
    <t>감귤(전체)</t>
    <phoneticPr fontId="3" type="noConversion"/>
  </si>
  <si>
    <t>대추열매(생것)</t>
    <phoneticPr fontId="3" type="noConversion"/>
  </si>
  <si>
    <t>대추열매(말린것)</t>
    <phoneticPr fontId="3" type="noConversion"/>
  </si>
  <si>
    <t>대추나무잎</t>
    <phoneticPr fontId="3" type="noConversion"/>
  </si>
  <si>
    <t>설향(A지역)</t>
    <phoneticPr fontId="3" type="noConversion"/>
  </si>
  <si>
    <t>설향(B지역)</t>
    <phoneticPr fontId="3" type="noConversion"/>
  </si>
  <si>
    <t>설향(C지역)</t>
    <phoneticPr fontId="3" type="noConversion"/>
  </si>
  <si>
    <t>설향(D지역)</t>
    <phoneticPr fontId="3" type="noConversion"/>
  </si>
  <si>
    <t>신고배(A지역, 과육)</t>
    <phoneticPr fontId="3" type="noConversion"/>
  </si>
  <si>
    <t>신고배(A지역, 과피)</t>
    <phoneticPr fontId="3" type="noConversion"/>
  </si>
  <si>
    <t>신고배(A지역, 전체)</t>
    <phoneticPr fontId="3" type="noConversion"/>
  </si>
  <si>
    <t>신고배(B지역, 과육)</t>
    <phoneticPr fontId="3" type="noConversion"/>
  </si>
  <si>
    <t>신고배(B지역, 과피)</t>
    <phoneticPr fontId="3" type="noConversion"/>
  </si>
  <si>
    <t>신고배(B지역, 전체)</t>
    <phoneticPr fontId="3" type="noConversion"/>
  </si>
  <si>
    <t>신고배(C지역, 과육)</t>
    <phoneticPr fontId="3" type="noConversion"/>
  </si>
  <si>
    <t>신고배(C지역, 과피)</t>
    <phoneticPr fontId="3" type="noConversion"/>
  </si>
  <si>
    <t>신고배(C지역, 전체)</t>
    <phoneticPr fontId="3" type="noConversion"/>
  </si>
  <si>
    <t>살구</t>
    <phoneticPr fontId="3" type="noConversion"/>
  </si>
  <si>
    <t>매실(임주, 6/3수확)</t>
    <phoneticPr fontId="3" type="noConversion"/>
  </si>
  <si>
    <t>매실(임주, 6/15수확)</t>
    <phoneticPr fontId="3" type="noConversion"/>
  </si>
  <si>
    <t>매실(임주, 6/22수확)</t>
    <phoneticPr fontId="3" type="noConversion"/>
  </si>
  <si>
    <t>매실(남고, 6/3수확)</t>
    <phoneticPr fontId="3" type="noConversion"/>
  </si>
  <si>
    <t>매실(남고, 6/15수확)</t>
    <phoneticPr fontId="3" type="noConversion"/>
  </si>
  <si>
    <t>매실(남고, 6/22수확)</t>
    <phoneticPr fontId="3" type="noConversion"/>
  </si>
  <si>
    <t>매실(수양매, 6/3수확)</t>
    <phoneticPr fontId="3" type="noConversion"/>
  </si>
  <si>
    <t>매실(수양매, 6/15수확)</t>
    <phoneticPr fontId="3" type="noConversion"/>
  </si>
  <si>
    <t>매실(수양매, 6/22수확)</t>
    <phoneticPr fontId="3" type="noConversion"/>
  </si>
  <si>
    <t>복숭아(백도, 과육)</t>
    <phoneticPr fontId="3" type="noConversion"/>
  </si>
  <si>
    <t>복숭아(백도, 과피)</t>
    <phoneticPr fontId="3" type="noConversion"/>
  </si>
  <si>
    <t>복숭아(천도, 과육)</t>
    <phoneticPr fontId="3" type="noConversion"/>
  </si>
  <si>
    <t>복숭아(천도, 과피)</t>
    <phoneticPr fontId="3" type="noConversion"/>
  </si>
  <si>
    <t>복숭아(황도, 과육)</t>
    <phoneticPr fontId="3" type="noConversion"/>
  </si>
  <si>
    <t>복숭아(황도, 과피)</t>
    <phoneticPr fontId="3" type="noConversion"/>
  </si>
  <si>
    <t>자두</t>
    <phoneticPr fontId="3" type="noConversion"/>
  </si>
  <si>
    <t>피자두</t>
    <phoneticPr fontId="3" type="noConversion"/>
  </si>
  <si>
    <t>앵두</t>
    <phoneticPr fontId="3" type="noConversion"/>
  </si>
  <si>
    <t>양앵두</t>
    <phoneticPr fontId="3" type="noConversion"/>
  </si>
  <si>
    <t>체리</t>
    <phoneticPr fontId="3" type="noConversion"/>
  </si>
  <si>
    <t>사과(아오리, 과육)</t>
    <phoneticPr fontId="3" type="noConversion"/>
  </si>
  <si>
    <t>사과(아오리, 과피)</t>
    <phoneticPr fontId="3" type="noConversion"/>
  </si>
  <si>
    <t>사과(아오리, 전체)</t>
    <phoneticPr fontId="3" type="noConversion"/>
  </si>
  <si>
    <t>사과(부사, 과육)</t>
    <phoneticPr fontId="3" type="noConversion"/>
  </si>
  <si>
    <t>사과(부사, 과피)</t>
    <phoneticPr fontId="3" type="noConversion"/>
  </si>
  <si>
    <t>사과(부사, 전체)</t>
    <phoneticPr fontId="3" type="noConversion"/>
  </si>
  <si>
    <t>사과(부사, 씨앗)</t>
    <phoneticPr fontId="3" type="noConversion"/>
  </si>
  <si>
    <t>사과(홍옥, 과육)</t>
    <phoneticPr fontId="3" type="noConversion"/>
  </si>
  <si>
    <t>사과(홍옥, 과피)</t>
    <phoneticPr fontId="3" type="noConversion"/>
  </si>
  <si>
    <t>사과(홍옥, 전체)</t>
    <phoneticPr fontId="3" type="noConversion"/>
  </si>
  <si>
    <t>콜롬비아
(톨리마, 원두)</t>
    <phoneticPr fontId="3" type="noConversion"/>
  </si>
  <si>
    <t>콜롬비아
(톨리마, 생두)</t>
    <phoneticPr fontId="3" type="noConversion"/>
  </si>
  <si>
    <t>에티오피아
(시다모 구지 
이과바예 워시드, 생두)</t>
    <phoneticPr fontId="3" type="noConversion"/>
  </si>
  <si>
    <t>콜롬비아
(메델린, 원두)</t>
    <phoneticPr fontId="3" type="noConversion"/>
  </si>
  <si>
    <t>콜롬비아
(메델린, 생두)</t>
    <phoneticPr fontId="3" type="noConversion"/>
  </si>
  <si>
    <t>브라질
(시티오 망게이라, 원두)</t>
    <phoneticPr fontId="3" type="noConversion"/>
  </si>
  <si>
    <t>브라질
(시티오 망게이라, 생두)</t>
    <phoneticPr fontId="3" type="noConversion"/>
  </si>
  <si>
    <t>브라질
(내추럴세라도, 생두)</t>
    <phoneticPr fontId="3" type="noConversion"/>
  </si>
  <si>
    <t>브라질
(내추럴세라도, 원두)</t>
    <phoneticPr fontId="3" type="noConversion"/>
  </si>
  <si>
    <t>브라질
(레드버번, 생두)</t>
    <phoneticPr fontId="3" type="noConversion"/>
  </si>
  <si>
    <t>브라질
(레드버번, 원두)</t>
    <phoneticPr fontId="3" type="noConversion"/>
  </si>
  <si>
    <t>에티오피아
(시다모 구지 
이과바예 워시드, 원두)</t>
    <phoneticPr fontId="3" type="noConversion"/>
  </si>
  <si>
    <t>과테말라
(마타퀘스틴틀라
 리저브, 원두)</t>
    <phoneticPr fontId="3" type="noConversion"/>
  </si>
  <si>
    <t>과테말라
(마타퀘스틴틀라
리저브, 생두)</t>
    <phoneticPr fontId="3" type="noConversion"/>
  </si>
  <si>
    <t>과테말라
(레드티피카 
K-72, 원두)</t>
    <phoneticPr fontId="3" type="noConversion"/>
  </si>
  <si>
    <t>과테말라
(레드티피카
K-72, 생두)</t>
    <phoneticPr fontId="3" type="noConversion"/>
  </si>
  <si>
    <t>과테말라
(레드파체
 K-72, 원두)</t>
    <phoneticPr fontId="3" type="noConversion"/>
  </si>
  <si>
    <t>과테말라
(레드파체
 K-72, 생두)</t>
    <phoneticPr fontId="3" type="noConversion"/>
  </si>
  <si>
    <t>에티오피아
(예가체프 
워시드, 원두)</t>
    <phoneticPr fontId="3" type="noConversion"/>
  </si>
  <si>
    <t>에티오피아
(예가체프
 워시드, 생두)</t>
    <phoneticPr fontId="3" type="noConversion"/>
  </si>
  <si>
    <t>하와이
(코나, 생두)</t>
    <phoneticPr fontId="3" type="noConversion"/>
  </si>
  <si>
    <t>하와이
(코나, 원두)</t>
    <phoneticPr fontId="3" type="noConversion"/>
  </si>
  <si>
    <t>온두라스
(EP코판, 생두)</t>
    <phoneticPr fontId="3" type="noConversion"/>
  </si>
  <si>
    <t>온두라스
(EP코판, 원두)</t>
    <phoneticPr fontId="3" type="noConversion"/>
  </si>
  <si>
    <t>온두라스
(페르민에르난데스
코판, 생두)</t>
    <phoneticPr fontId="3" type="noConversion"/>
  </si>
  <si>
    <t>온두라스
(페르민에르난데스
코판, 원두)</t>
    <phoneticPr fontId="3" type="noConversion"/>
  </si>
  <si>
    <t>인도
(로부스타
 카피로얄, 생두)</t>
    <phoneticPr fontId="3" type="noConversion"/>
  </si>
  <si>
    <t>인도
(로부스타
 카피로얄, 원두)</t>
    <phoneticPr fontId="3" type="noConversion"/>
  </si>
  <si>
    <t>인도
(몬순말라바,
생두)</t>
    <phoneticPr fontId="3" type="noConversion"/>
  </si>
  <si>
    <t>인도
(몬순말라바,
원두)</t>
    <phoneticPr fontId="3" type="noConversion"/>
  </si>
  <si>
    <t>케냐
(은가라마 
카이나무이, 생두)</t>
    <phoneticPr fontId="3" type="noConversion"/>
  </si>
  <si>
    <t>케냐
(은가라마 
카이나무이, 원두)</t>
    <phoneticPr fontId="3" type="noConversion"/>
  </si>
  <si>
    <t>케냐
(룽게토 카리미쿠이, 생두)</t>
    <phoneticPr fontId="3" type="noConversion"/>
  </si>
  <si>
    <t>케냐
(룽게토 카리미쿠이, 원두)</t>
    <phoneticPr fontId="3" type="noConversion"/>
  </si>
  <si>
    <t>베트남
(로부스타 폴리쉬,
생두)</t>
    <phoneticPr fontId="3" type="noConversion"/>
  </si>
  <si>
    <t>베트남
(로부스타 폴리쉬,
원두)</t>
    <phoneticPr fontId="3" type="noConversion"/>
  </si>
  <si>
    <t>베트남
(로부스타 사이공 하마 웻 폴리쉬, 생두)</t>
    <phoneticPr fontId="3" type="noConversion"/>
  </si>
  <si>
    <t>베트남
(로부스타 사이공 하마 웻 폴리쉬, 원두)</t>
    <phoneticPr fontId="3" type="noConversion"/>
  </si>
  <si>
    <t>caffeic acid</t>
    <phoneticPr fontId="3" type="noConversion"/>
  </si>
  <si>
    <t>ferulic acid</t>
    <phoneticPr fontId="3" type="noConversion"/>
  </si>
  <si>
    <t>gallic acid</t>
    <phoneticPr fontId="3" type="noConversion"/>
  </si>
  <si>
    <t>녹차
(생엽)</t>
    <phoneticPr fontId="3" type="noConversion"/>
  </si>
  <si>
    <t>녹차
(첫덖음)</t>
    <phoneticPr fontId="3" type="noConversion"/>
  </si>
  <si>
    <t>녹차
(비비기)</t>
    <phoneticPr fontId="3" type="noConversion"/>
  </si>
  <si>
    <t>녹차
(1차건조)</t>
    <phoneticPr fontId="3" type="noConversion"/>
  </si>
  <si>
    <t>녹차
(2차건조)</t>
    <phoneticPr fontId="3" type="noConversion"/>
  </si>
  <si>
    <t>녹차
(마무리건조)</t>
    <phoneticPr fontId="3" type="noConversion"/>
  </si>
  <si>
    <t>녹차
(제품)</t>
    <phoneticPr fontId="3" type="noConversion"/>
  </si>
  <si>
    <t>홍차
(시들리기)</t>
    <phoneticPr fontId="3" type="noConversion"/>
  </si>
  <si>
    <t>홍차
(비비기)</t>
    <phoneticPr fontId="3" type="noConversion"/>
  </si>
  <si>
    <t>홍차
(상온발효)</t>
    <phoneticPr fontId="3" type="noConversion"/>
  </si>
  <si>
    <t>홍차
(1차건조)</t>
    <phoneticPr fontId="3" type="noConversion"/>
  </si>
  <si>
    <t>홍차
(마무리건조)</t>
    <phoneticPr fontId="3" type="noConversion"/>
  </si>
  <si>
    <t>홍차
(제품)</t>
    <phoneticPr fontId="3" type="noConversion"/>
  </si>
  <si>
    <t>홍차
(봄)</t>
    <phoneticPr fontId="3" type="noConversion"/>
  </si>
  <si>
    <t>홍차
(여름)</t>
    <phoneticPr fontId="3" type="noConversion"/>
  </si>
  <si>
    <t>홍차
(가을)</t>
    <phoneticPr fontId="3" type="noConversion"/>
  </si>
  <si>
    <t>보리순</t>
    <phoneticPr fontId="3" type="noConversion"/>
  </si>
  <si>
    <t>유자(전체)</t>
    <phoneticPr fontId="3" type="noConversion"/>
  </si>
  <si>
    <t>들깨(생것)</t>
    <phoneticPr fontId="3" type="noConversion"/>
  </si>
  <si>
    <t>들깨(볶은것)</t>
    <phoneticPr fontId="3" type="noConversion"/>
  </si>
  <si>
    <t>들깻묵</t>
    <phoneticPr fontId="3" type="noConversion"/>
  </si>
  <si>
    <t>들깻잎</t>
    <phoneticPr fontId="3" type="noConversion"/>
  </si>
  <si>
    <t>자소엽</t>
    <phoneticPr fontId="3" type="noConversion"/>
  </si>
  <si>
    <t>방아풀</t>
    <phoneticPr fontId="3" type="noConversion"/>
  </si>
  <si>
    <t>박하(지상부)</t>
    <phoneticPr fontId="3" type="noConversion"/>
  </si>
  <si>
    <t>배암차즈기(지상부)</t>
    <phoneticPr fontId="3" type="noConversion"/>
  </si>
  <si>
    <t>광대나물</t>
    <phoneticPr fontId="3" type="noConversion"/>
  </si>
  <si>
    <t>익모초</t>
    <phoneticPr fontId="3" type="noConversion"/>
  </si>
  <si>
    <t>오레가노</t>
    <phoneticPr fontId="3" type="noConversion"/>
  </si>
  <si>
    <t>로즈마리</t>
    <phoneticPr fontId="3" type="noConversion"/>
  </si>
  <si>
    <t>타임</t>
    <phoneticPr fontId="3" type="noConversion"/>
  </si>
  <si>
    <t>바질</t>
    <phoneticPr fontId="3" type="noConversion"/>
  </si>
  <si>
    <t>핫립세이지</t>
    <phoneticPr fontId="3" type="noConversion"/>
  </si>
  <si>
    <t>체리세이지</t>
    <phoneticPr fontId="3" type="noConversion"/>
  </si>
  <si>
    <t>레몬밤</t>
    <phoneticPr fontId="3" type="noConversion"/>
  </si>
  <si>
    <t>히솝</t>
    <phoneticPr fontId="3" type="noConversion"/>
  </si>
  <si>
    <t>마조람</t>
    <phoneticPr fontId="3" type="noConversion"/>
  </si>
  <si>
    <t>페퍼민트</t>
    <phoneticPr fontId="3" type="noConversion"/>
  </si>
  <si>
    <t>마테</t>
    <phoneticPr fontId="3" type="noConversion"/>
  </si>
  <si>
    <t>스테비아</t>
    <phoneticPr fontId="3" type="noConversion"/>
  </si>
  <si>
    <t>lithospermic acid A</t>
    <phoneticPr fontId="3" type="noConversion"/>
  </si>
  <si>
    <t>lithospermic acid B (salvianolic acid B)</t>
    <phoneticPr fontId="3" type="noConversion"/>
  </si>
  <si>
    <t>melitric acid A</t>
    <phoneticPr fontId="3" type="noConversion"/>
  </si>
  <si>
    <t>melitric acid B</t>
    <phoneticPr fontId="3" type="noConversion"/>
  </si>
  <si>
    <t>protocatechuic acid</t>
    <phoneticPr fontId="3" type="noConversion"/>
  </si>
  <si>
    <t>rosmarinic acid</t>
    <phoneticPr fontId="3" type="noConversion"/>
  </si>
  <si>
    <t>*"0.00"  검출안됨</t>
    <phoneticPr fontId="3" type="noConversion"/>
  </si>
  <si>
    <r>
      <rPr>
        <sz val="10"/>
        <color theme="1"/>
        <rFont val="맑은 고딕"/>
        <family val="3"/>
        <charset val="129"/>
      </rPr>
      <t>흑토마토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</si>
  <si>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강황(A국가)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</si>
  <si>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강황(B국가)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</si>
  <si>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 xml:space="preserve">강황(C국가)     
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</si>
  <si>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강황(D국가)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</si>
  <si>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참두릅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</si>
  <si>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개두릅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</si>
  <si>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미나리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</si>
  <si>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돌미나리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</si>
  <si>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청경채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</si>
  <si>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적갓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</si>
  <si>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양배추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</si>
  <si>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적양배추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</si>
  <si>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방울양배추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</si>
  <si>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브로콜리 (꽃송이)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</si>
  <si>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브로콜리 (줄기)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</si>
  <si>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봄동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</si>
  <si>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쌈배추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</si>
  <si>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가을배추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</si>
  <si>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냉이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</si>
  <si>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가을무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</si>
  <si>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무순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</si>
  <si>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열무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</si>
  <si>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마늘(남도)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</si>
  <si>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마늘(단영)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</si>
  <si>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마늘(전남27호)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</si>
  <si>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마늘(초영)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</si>
  <si>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</si>
  <si>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마늘종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</si>
  <si>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부추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</si>
  <si>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두메부추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</si>
  <si>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파(쪽파)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</si>
  <si>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파(대파)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</si>
  <si>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파(실파)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</si>
  <si>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삼채(잎)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</si>
  <si>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삼채(뿌리)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</si>
  <si>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샬롯(새로미)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</si>
  <si>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달래(전체)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</si>
  <si>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양파(껍질)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</si>
  <si>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자색양파(껍질)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</si>
  <si>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적상추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</si>
  <si>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적꽃상추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</si>
  <si>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적포기상추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</si>
  <si>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청상추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</si>
  <si>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양상추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</si>
  <si>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쑥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</si>
  <si>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인진쑥(무처리)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</si>
  <si>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인진쑥(데친것)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</si>
  <si>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인진쑥(고온고압)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</si>
  <si>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쑥갓(무처리)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</si>
  <si>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쑥갓(데친것)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</si>
  <si>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쑥갓(고온고압)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</si>
  <si>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아스파라거스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</si>
  <si>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참취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</si>
  <si>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곰취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</si>
  <si>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토마토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</si>
  <si>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방울토마토</t>
    </r>
    <phoneticPr fontId="3" type="noConversion"/>
  </si>
  <si>
    <r>
      <rPr>
        <b/>
        <sz val="10"/>
        <color theme="1"/>
        <rFont val="맑은 고딕"/>
        <family val="3"/>
        <charset val="129"/>
        <scheme val="major"/>
      </rPr>
      <t>대추방울토마토</t>
    </r>
    <phoneticPr fontId="3" type="noConversion"/>
  </si>
  <si>
    <t xml:space="preserve">5-acetoxy-1,7-bis(4-hydroxy-3-methoxyphenyl)heptan-3-one </t>
    <phoneticPr fontId="3" type="noConversion"/>
  </si>
  <si>
    <t>curcumalongin C</t>
    <phoneticPr fontId="3" type="noConversion"/>
  </si>
  <si>
    <t>dihydrobismethoxycurcumin</t>
    <phoneticPr fontId="3" type="noConversion"/>
  </si>
  <si>
    <t>dihydrocurcumin</t>
    <phoneticPr fontId="3" type="noConversion"/>
  </si>
  <si>
    <t xml:space="preserve">ferulic acid </t>
    <phoneticPr fontId="3" type="noConversion"/>
  </si>
  <si>
    <t>sinapic acid</t>
    <phoneticPr fontId="3" type="noConversion"/>
  </si>
  <si>
    <t>갓(A 지역)</t>
    <phoneticPr fontId="3" type="noConversion"/>
  </si>
  <si>
    <t>갓(B 지역)</t>
    <phoneticPr fontId="3" type="noConversion"/>
  </si>
  <si>
    <t>갓(C 지역)</t>
    <phoneticPr fontId="3" type="noConversion"/>
  </si>
  <si>
    <t>케일(노지)</t>
    <phoneticPr fontId="3" type="noConversion"/>
  </si>
  <si>
    <t>케일(하우스)</t>
    <phoneticPr fontId="3" type="noConversion"/>
  </si>
  <si>
    <t>제주월동무
(전체, 무청포함)</t>
    <phoneticPr fontId="3" type="noConversion"/>
  </si>
  <si>
    <t>제주월동무
(초록뿌리)</t>
    <phoneticPr fontId="3" type="noConversion"/>
  </si>
  <si>
    <t>제주월동무
(흰뿌리)</t>
    <phoneticPr fontId="3" type="noConversion"/>
  </si>
  <si>
    <t>제주월동무
(전체, 무청제외)</t>
    <phoneticPr fontId="3" type="noConversion"/>
  </si>
  <si>
    <t>제주월동무
(무청)</t>
    <phoneticPr fontId="3" type="noConversion"/>
  </si>
  <si>
    <t>적로메인상추
(B 지역)</t>
    <phoneticPr fontId="3" type="noConversion"/>
  </si>
  <si>
    <t>적로메인상추
(A 지역)</t>
    <phoneticPr fontId="3" type="noConversion"/>
  </si>
  <si>
    <t>양파
(적색,레드프라임)</t>
    <phoneticPr fontId="3" type="noConversion"/>
  </si>
  <si>
    <t>양파
(노랑,썬파워)</t>
    <phoneticPr fontId="3" type="noConversion"/>
  </si>
  <si>
    <t>생강(A국가)</t>
    <phoneticPr fontId="3" type="noConversion"/>
  </si>
  <si>
    <t>생강(B국가)</t>
    <phoneticPr fontId="3" type="noConversion"/>
  </si>
  <si>
    <t>흑생강(C국가)</t>
    <phoneticPr fontId="3" type="noConversion"/>
  </si>
  <si>
    <t>흑생강(D국가)</t>
    <phoneticPr fontId="3" type="noConversion"/>
  </si>
  <si>
    <t>가지(전체)</t>
    <phoneticPr fontId="3" type="noConversion"/>
  </si>
  <si>
    <t>가지(알맹이)</t>
    <phoneticPr fontId="3" type="noConversion"/>
  </si>
  <si>
    <t>가지(껍질)</t>
    <phoneticPr fontId="3" type="noConversion"/>
  </si>
  <si>
    <t>caffeic acid</t>
    <phoneticPr fontId="3" type="noConversion"/>
  </si>
  <si>
    <t>10-gingerol</t>
    <phoneticPr fontId="3" type="noConversion"/>
  </si>
  <si>
    <t>6-shogaol</t>
    <phoneticPr fontId="3" type="noConversion"/>
  </si>
  <si>
    <t>8-gingerol</t>
    <phoneticPr fontId="3" type="noConversion"/>
  </si>
  <si>
    <t>6-gingerdiol</t>
    <phoneticPr fontId="3" type="noConversion"/>
  </si>
  <si>
    <t>6-gingerol</t>
    <phoneticPr fontId="3" type="noConversion"/>
  </si>
  <si>
    <t>1-(4-hydroxy-3-methoxyphenyl)-7-(4-hydroxyphenyl)hepta-1,6-diene-3,5-dione (demethoxycurcumin)</t>
    <phoneticPr fontId="3" type="noConversion"/>
  </si>
  <si>
    <t>1,6-heptadien-3,5-dione,1-(3,4-dihydroxyphenyle)-7-(4-hydroxyphenyl)</t>
    <phoneticPr fontId="3" type="noConversion"/>
  </si>
  <si>
    <t>1,7-bis(4-hydroxy-3-methoxyphenyl)hepta-1,6-diene-3,5-dione (curcumin)</t>
    <phoneticPr fontId="3" type="noConversion"/>
  </si>
  <si>
    <t>1,7-bis(4-hydroxyphenyl)-1,4,6-heptatrien-3-one</t>
    <phoneticPr fontId="3" type="noConversion"/>
  </si>
  <si>
    <t>1,7-bis(4-hydroxyphenyl)hepta-1,6-diene-3,5-dione (bisdemethoxycurcumin)</t>
    <phoneticPr fontId="3" type="noConversion"/>
  </si>
  <si>
    <t>1-hydroxy-1-(3,4-dihydroxyphenyl)-7-(4-hydroxy-3-methoxyphenyl)-6-hepten-3,5-dione</t>
    <phoneticPr fontId="3" type="noConversion"/>
  </si>
  <si>
    <t>3 or 5 acetoxy-6-gingerdiol</t>
    <phoneticPr fontId="3" type="noConversion"/>
  </si>
  <si>
    <t>총 페놀산 함량(mg/100g dry weight)</t>
    <phoneticPr fontId="3" type="noConversion"/>
  </si>
  <si>
    <t>acetoxy-10-gingerol</t>
    <phoneticPr fontId="3" type="noConversion"/>
  </si>
  <si>
    <t>diacetoxy-4-gingerdiol</t>
    <phoneticPr fontId="3" type="noConversion"/>
  </si>
  <si>
    <t>diacetoxy-6-gingerdiol</t>
    <phoneticPr fontId="3" type="noConversion"/>
  </si>
  <si>
    <t>diacetoxy-8-gingerdiol</t>
    <phoneticPr fontId="3" type="noConversion"/>
  </si>
  <si>
    <t>1-dehydro-10-gingerdione</t>
    <phoneticPr fontId="3" type="noConversion"/>
  </si>
  <si>
    <t>1-dehydro-6-gingerdione</t>
    <phoneticPr fontId="3" type="noConversion"/>
  </si>
  <si>
    <t>1-dehydro-8-gingerdione</t>
    <phoneticPr fontId="3" type="noConversion"/>
  </si>
  <si>
    <t xml:space="preserve">dihydrodemethoxycurcumin </t>
    <phoneticPr fontId="3" type="noConversion"/>
  </si>
  <si>
    <t>methyl-6-gingerol</t>
    <phoneticPr fontId="3" type="noConversion"/>
  </si>
  <si>
    <t>methyl-5-acetoxy-6-gingerdiol</t>
    <phoneticPr fontId="3" type="noConversion"/>
  </si>
  <si>
    <t>methyl diacetoxy-6-gingerdiol</t>
    <phoneticPr fontId="3" type="noConversion"/>
  </si>
  <si>
    <t>caffeic acid</t>
    <phoneticPr fontId="3" type="noConversion"/>
  </si>
  <si>
    <t>*"0.00"  검출안됨</t>
    <phoneticPr fontId="3" type="noConversion"/>
  </si>
  <si>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-coumaric acid</t>
    </r>
    <phoneticPr fontId="3" type="noConversion"/>
  </si>
  <si>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-coumaric acid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</si>
  <si>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cis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-coumaroylquinic acid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</si>
  <si>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 (chlorogenic acid)</t>
    </r>
    <phoneticPr fontId="3" type="noConversion"/>
  </si>
  <si>
    <r>
      <t>2,4- or 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-caffeoylaltraric acid</t>
    </r>
    <phoneticPr fontId="3" type="noConversion"/>
  </si>
  <si>
    <r>
      <t>2,5-di-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-caffeoylaltraric acid</t>
    </r>
    <phoneticPr fontId="3" type="noConversion"/>
  </si>
  <si>
    <r>
      <t>1,3,5-tri-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</si>
  <si>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2,3,5- or 2,4,5-tri-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-caffeoylaltraric acid</t>
    </r>
    <phoneticPr fontId="3" type="noConversion"/>
  </si>
  <si>
    <r>
      <t>2,3,5- or 2,4,5-tri-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-caffeoylaltraric acid methyl ester</t>
    </r>
    <phoneticPr fontId="3" type="noConversion"/>
  </si>
  <si>
    <r>
      <t>3,4,5-tri-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</si>
  <si>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(neochlorogenic acid)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</si>
  <si>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 xml:space="preserve">-feruloylquinic acid 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</si>
  <si>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</si>
  <si>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</si>
  <si>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-feruloyl-4,5-di-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</si>
  <si>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 xml:space="preserve">-caffeoylquinic acid </t>
    </r>
    <phoneticPr fontId="3" type="noConversion"/>
  </si>
  <si>
    <r>
      <t>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-feruloyl-5-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 xml:space="preserve">-caffeoylquinic acid 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</si>
  <si>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-hydroxybenzoylquinic acid (neonasipomic acid)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</si>
  <si>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-ferulyol-5-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</si>
  <si>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</si>
  <si>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-vanilloylquinic acid (neodaripomic acid)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</si>
  <si>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</si>
  <si>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B)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</si>
  <si>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</si>
  <si>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</si>
  <si>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A)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</si>
  <si>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</si>
  <si>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(cryptochlorogenic acid)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</si>
  <si>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</si>
  <si>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 xml:space="preserve">-caffeoylquinic acid 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</si>
  <si>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-caffeoyl-2,7-anhydro-D-glycero-</t>
    </r>
    <r>
      <rPr>
        <i/>
        <sz val="10"/>
        <color theme="1"/>
        <rFont val="맑은 고딕"/>
        <family val="3"/>
        <charset val="129"/>
        <scheme val="major"/>
      </rPr>
      <t>β</t>
    </r>
    <r>
      <rPr>
        <sz val="10"/>
        <color theme="1"/>
        <rFont val="맑은 고딕"/>
        <family val="3"/>
        <charset val="129"/>
        <scheme val="major"/>
      </rPr>
      <t>-D-galacto-oct-2-ulopyranosonic acid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</si>
  <si>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C)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</si>
  <si>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</si>
  <si>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-caffeoyl-2,7-anhydro-D-glycero-</t>
    </r>
    <r>
      <rPr>
        <i/>
        <sz val="10"/>
        <color theme="1"/>
        <rFont val="맑은 고딕"/>
        <family val="3"/>
        <charset val="129"/>
        <scheme val="major"/>
      </rPr>
      <t>β</t>
    </r>
    <r>
      <rPr>
        <sz val="10"/>
        <color theme="1"/>
        <rFont val="맑은 고딕"/>
        <family val="3"/>
        <charset val="129"/>
        <scheme val="major"/>
      </rPr>
      <t>-D-galacto-oct-2-ulopyranosonic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</si>
  <si>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-hydroxybenzoylquinic acid (cryptonasipomic acid)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</si>
  <si>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</si>
  <si>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-vanilloylquinic acid (cryptodaripomic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</si>
  <si>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(chlorogenic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</si>
  <si>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(chlorogenic acid methyl ester)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</si>
  <si>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-caffeoyl-2,7-anhydro-D-glycero-</t>
    </r>
    <r>
      <rPr>
        <i/>
        <sz val="10"/>
        <color theme="1"/>
        <rFont val="맑은 고딕"/>
        <family val="3"/>
        <charset val="129"/>
        <scheme val="major"/>
      </rPr>
      <t>β</t>
    </r>
    <r>
      <rPr>
        <sz val="10"/>
        <color theme="1"/>
        <rFont val="맑은 고딕"/>
        <family val="3"/>
        <charset val="129"/>
        <scheme val="major"/>
      </rPr>
      <t>-D-galacto-oct-2-ulopyranosonic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</si>
  <si>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</si>
  <si>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</si>
  <si>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-hydroxybenzoylquinic acid (nasipomic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</si>
  <si>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-vanilloylquinic acid (daripomic acid)</t>
    </r>
    <phoneticPr fontId="3" type="noConversion"/>
  </si>
  <si>
    <r>
      <t>6-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-caffeoylsucrose</t>
    </r>
    <phoneticPr fontId="3" type="noConversion"/>
  </si>
  <si>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-coumaric acid</t>
    </r>
    <phoneticPr fontId="3" type="noConversion"/>
  </si>
  <si>
    <r>
      <t>1-(4-hydroxy-3-methoxyphenyl)-5-(4-hydroxyphenyl)-penta-(1</t>
    </r>
    <r>
      <rPr>
        <i/>
        <sz val="10"/>
        <color theme="1"/>
        <rFont val="맑은 고딕"/>
        <family val="3"/>
        <charset val="129"/>
        <scheme val="major"/>
      </rPr>
      <t>E</t>
    </r>
    <r>
      <rPr>
        <sz val="10"/>
        <color theme="1"/>
        <rFont val="맑은 고딕"/>
        <family val="3"/>
        <charset val="129"/>
        <scheme val="major"/>
      </rPr>
      <t>,4</t>
    </r>
    <r>
      <rPr>
        <i/>
        <sz val="10"/>
        <color theme="1"/>
        <rFont val="맑은 고딕"/>
        <family val="3"/>
        <charset val="129"/>
        <scheme val="major"/>
      </rPr>
      <t>E</t>
    </r>
    <r>
      <rPr>
        <sz val="10"/>
        <color theme="1"/>
        <rFont val="맑은 고딕"/>
        <family val="3"/>
        <charset val="129"/>
        <scheme val="major"/>
      </rPr>
      <t>)-1,4-dien-3-one</t>
    </r>
    <phoneticPr fontId="3" type="noConversion"/>
  </si>
  <si>
    <r>
      <t>1,2,2'-tri-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-sinapoylgentiobioside</t>
    </r>
    <phoneticPr fontId="3" type="noConversion"/>
  </si>
  <si>
    <r>
      <t>1,2-di-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-feruloylgentiobioside</t>
    </r>
    <phoneticPr fontId="3" type="noConversion"/>
  </si>
  <si>
    <r>
      <t>1,2'-di-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-sinapoyl-2-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-feruloylgentiobioside</t>
    </r>
    <phoneticPr fontId="3" type="noConversion"/>
  </si>
  <si>
    <r>
      <t>1,2'-di-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-sinapoylgentiobioside</t>
    </r>
    <phoneticPr fontId="3" type="noConversion"/>
  </si>
  <si>
    <r>
      <t>1,2-di-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-sinapoylgentiobioside</t>
    </r>
    <phoneticPr fontId="3" type="noConversion"/>
  </si>
  <si>
    <r>
      <t>1,3-di-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(cynarin)</t>
    </r>
    <phoneticPr fontId="3" type="noConversion"/>
  </si>
  <si>
    <r>
      <t>1,4-di-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</si>
  <si>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1,5-di-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</si>
  <si>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-caffeoylglucoside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</si>
  <si>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</si>
  <si>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</si>
  <si>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-feruloylglucoside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</si>
  <si>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-sinapoyl-2-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-5-hydroxyferuloylgentiobioside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</si>
  <si>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-sinapoyl-2'-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-feruloylgentiobioside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</si>
  <si>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-sinapoyl-2-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-feruloylgentiobioside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</si>
  <si>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-sinapoyl-2-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-feruloylglucoside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</si>
  <si>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-sinapoylglucoside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</si>
  <si>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-caffeoylmalic acid (phaseolic acid)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</si>
  <si>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-caffeoylmalic acid (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-phaseolic acid)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</si>
  <si>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-feruloylmalic acid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</si>
  <si>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-coumaroylmalic acid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</si>
  <si>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-sinapolymalic acid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</si>
  <si>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-feruloylmalic acid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</si>
  <si>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-coumaroylmalic acid</t>
    </r>
    <phoneticPr fontId="3" type="noConversion"/>
  </si>
  <si>
    <r>
      <t>2-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-sinapoylmalic acid</t>
    </r>
    <phoneticPr fontId="3" type="noConversion"/>
  </si>
  <si>
    <r>
      <t>3,4,5-tri-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</si>
  <si>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B)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</si>
  <si>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(isochlorogenic acid B methyl ester)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</si>
  <si>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-succinylquinic acid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</si>
  <si>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-succinylquinic acid methyl ester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</si>
  <si>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A)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</si>
  <si>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(isochlorogenic acid A methyl ester)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</si>
  <si>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</si>
  <si>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(neochlorogenic acid)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</si>
  <si>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(neochlorogenic acid methyl ester)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</si>
  <si>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</si>
  <si>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-feruloyl-5-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</si>
  <si>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</si>
  <si>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-coumaroyl-</t>
    </r>
    <r>
      <rPr>
        <i/>
        <sz val="10"/>
        <color theme="1"/>
        <rFont val="맑은 고딕"/>
        <family val="3"/>
        <charset val="129"/>
        <scheme val="major"/>
      </rPr>
      <t>epi</t>
    </r>
    <r>
      <rPr>
        <sz val="10"/>
        <color theme="1"/>
        <rFont val="맑은 고딕"/>
        <family val="3"/>
        <charset val="129"/>
        <scheme val="major"/>
      </rPr>
      <t>-quinic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</si>
  <si>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</si>
  <si>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(isochlorogenic acid C)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</si>
  <si>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(cryptochlorogenic acid)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</si>
  <si>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</si>
  <si>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</si>
  <si>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(chlorogenic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</si>
  <si>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(chlorogenic acid methyl ester)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</si>
  <si>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-caffeoylquinic acid (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-chlorogenic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</si>
  <si>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</si>
  <si>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</si>
  <si>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</si>
  <si>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-coumaric acid</t>
    </r>
    <phoneticPr fontId="3" type="noConversion"/>
  </si>
  <si>
    <t>총 페놀산 함량(mg/100g dry weight)</t>
    <phoneticPr fontId="3" type="noConversion"/>
  </si>
  <si>
    <r>
      <t>vanillic acid 4-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-glucoside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</si>
  <si>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(neochlorogenic acid)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</si>
  <si>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-caffeoylshikimic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</si>
  <si>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cis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</si>
  <si>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-feruloyl(2'-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-acetyl)sucrose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</si>
  <si>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</si>
  <si>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-feruloylsucrose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</si>
  <si>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-coumaroyl(2',6'-di-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-acetyl)sucrose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</si>
  <si>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-coumaroyl(2'-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-acetyl)sucrose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</si>
  <si>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-coumaroyl(3',6'-di-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-acetyl)sucrose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</si>
  <si>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-coumaroyl(4',6'-di-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-acetyl)sucrose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</si>
  <si>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(isochlorogenic acid A)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</si>
  <si>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(cryptochlorogenic acid)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</si>
  <si>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</si>
  <si>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-(4''-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-glucosyl)caffeoylquinic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</si>
  <si>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(chlorogenic acid)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</si>
  <si>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</si>
  <si>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cis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</si>
  <si>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</si>
  <si>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-caffeoyl-1,5-quinide (3-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-caffeoyl-γ-quinide)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</si>
  <si>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</t>
    </r>
    <r>
      <rPr>
        <i/>
        <sz val="10"/>
        <color theme="1"/>
        <rFont val="맑은 고딕"/>
        <family val="3"/>
        <charset val="129"/>
        <scheme val="minor"/>
      </rPr>
      <t>epi</t>
    </r>
    <r>
      <rPr>
        <sz val="10"/>
        <color theme="1"/>
        <rFont val="맑은 고딕"/>
        <family val="3"/>
        <charset val="129"/>
        <scheme val="minor"/>
      </rPr>
      <t>-1,5-quinide (3-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</t>
    </r>
    <r>
      <rPr>
        <i/>
        <sz val="10"/>
        <color theme="1"/>
        <rFont val="맑은 고딕"/>
        <family val="3"/>
        <charset val="129"/>
        <scheme val="minor"/>
      </rPr>
      <t>epi</t>
    </r>
    <r>
      <rPr>
        <sz val="10"/>
        <color theme="1"/>
        <rFont val="맑은 고딕"/>
        <family val="3"/>
        <charset val="129"/>
        <scheme val="minor"/>
      </rPr>
      <t>-γ-quinide)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</si>
  <si>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 methyl ester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</si>
  <si>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</si>
  <si>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</si>
  <si>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-feruloyl-1,5-quinide (3-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-feruloyl-γ-quinide)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</si>
  <si>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</si>
  <si>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</si>
  <si>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</si>
  <si>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-caffeoyl-1,5-quinide (3,4-di-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-caffeoyl-γ-quinide)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</si>
  <si>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(isochlorogenic acid B)</t>
    </r>
    <phoneticPr fontId="3" type="noConversion"/>
  </si>
  <si>
    <r>
      <t>3,4-di-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 (isochlrogenic acid B methyl ester)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</si>
  <si>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</si>
  <si>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</si>
  <si>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-galloylquinic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</si>
  <si>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</si>
  <si>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</si>
  <si>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</si>
  <si>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</si>
  <si>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-caffeoyl-1,5-quinide (4-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-caffeoyl-γ-quinide)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</si>
  <si>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</si>
  <si>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(isochlorogenic acid C)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</si>
  <si>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 methyl ester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</si>
  <si>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</t>
    </r>
    <r>
      <rPr>
        <i/>
        <sz val="10"/>
        <color theme="1"/>
        <rFont val="맑은 고딕"/>
        <family val="3"/>
        <charset val="129"/>
        <scheme val="minor"/>
      </rPr>
      <t>epi</t>
    </r>
    <r>
      <rPr>
        <sz val="10"/>
        <color theme="1"/>
        <rFont val="맑은 고딕"/>
        <family val="3"/>
        <charset val="129"/>
        <scheme val="minor"/>
      </rPr>
      <t>-1,4-quinide (5-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</t>
    </r>
    <r>
      <rPr>
        <i/>
        <sz val="10"/>
        <color theme="1"/>
        <rFont val="맑은 고딕"/>
        <family val="3"/>
        <charset val="129"/>
        <scheme val="minor"/>
      </rPr>
      <t>epi</t>
    </r>
    <r>
      <rPr>
        <sz val="10"/>
        <color theme="1"/>
        <rFont val="맑은 고딕"/>
        <family val="3"/>
        <charset val="129"/>
        <scheme val="minor"/>
      </rPr>
      <t>-γ-quinide)</t>
    </r>
    <phoneticPr fontId="3" type="noConversion"/>
  </si>
  <si>
    <r>
      <t>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-feruloyl-1,3-quinide (4-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</t>
    </r>
    <r>
      <rPr>
        <i/>
        <sz val="10"/>
        <color theme="1"/>
        <rFont val="맑은 고딕"/>
        <family val="3"/>
        <charset val="129"/>
        <scheme val="minor"/>
      </rPr>
      <t>muco</t>
    </r>
    <r>
      <rPr>
        <sz val="10"/>
        <color theme="1"/>
        <rFont val="맑은 고딕"/>
        <family val="3"/>
        <charset val="129"/>
        <scheme val="minor"/>
      </rPr>
      <t>-γ-quinide)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</si>
  <si>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-feruloyl-1,3-quinide (5-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-feruloyl-</t>
    </r>
    <r>
      <rPr>
        <i/>
        <sz val="10"/>
        <color theme="1"/>
        <rFont val="맑은 고딕"/>
        <family val="3"/>
        <charset val="129"/>
        <scheme val="minor"/>
      </rPr>
      <t>muco</t>
    </r>
    <r>
      <rPr>
        <sz val="10"/>
        <color theme="1"/>
        <rFont val="맑은 고딕"/>
        <family val="3"/>
        <charset val="129"/>
        <scheme val="minor"/>
      </rPr>
      <t xml:space="preserve">-γ-quinide) 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</si>
  <si>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-caffeoyl-1,3-quinide (4,5-di-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</t>
    </r>
    <r>
      <rPr>
        <i/>
        <sz val="10"/>
        <color theme="1"/>
        <rFont val="맑은 고딕"/>
        <family val="3"/>
        <charset val="129"/>
        <scheme val="minor"/>
      </rPr>
      <t>muco</t>
    </r>
    <r>
      <rPr>
        <sz val="10"/>
        <color theme="1"/>
        <rFont val="맑은 고딕"/>
        <family val="3"/>
        <charset val="129"/>
        <scheme val="minor"/>
      </rPr>
      <t xml:space="preserve">-γ-quinide 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</si>
  <si>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</si>
  <si>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-galloylquinic acid (theogallin)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</si>
  <si>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 (chlorogenic acid methyl ester)</t>
    </r>
    <phoneticPr fontId="3" type="noConversion"/>
  </si>
  <si>
    <r>
      <t>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-caffeoyl-1,3-quinide (5-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</t>
    </r>
    <r>
      <rPr>
        <i/>
        <sz val="10"/>
        <color theme="1"/>
        <rFont val="맑은 고딕"/>
        <family val="3"/>
        <charset val="129"/>
        <scheme val="minor"/>
      </rPr>
      <t>muco</t>
    </r>
    <r>
      <rPr>
        <sz val="10"/>
        <color theme="1"/>
        <rFont val="맑은 고딕"/>
        <family val="3"/>
        <charset val="129"/>
        <scheme val="minor"/>
      </rPr>
      <t>-γ-quinide)</t>
    </r>
    <phoneticPr fontId="3" type="noConversion"/>
  </si>
  <si>
    <r>
      <t>caffeic acid 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-glucoside</t>
    </r>
    <phoneticPr fontId="3" type="noConversion"/>
  </si>
  <si>
    <t>ferulic acid</t>
    <phoneticPr fontId="3" type="noConversion"/>
  </si>
  <si>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-coumaric acid 4-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-glucoside</t>
    </r>
    <phoneticPr fontId="3" type="noConversion"/>
  </si>
  <si>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-hydroxybenzoic acid</t>
    </r>
    <phoneticPr fontId="3" type="noConversion"/>
  </si>
  <si>
    <r>
      <t>rosmarinic acid 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-glusoside</t>
    </r>
    <phoneticPr fontId="3" type="noConversion"/>
  </si>
  <si>
    <r>
      <rPr>
        <sz val="10"/>
        <color theme="1"/>
        <rFont val="맑은 고딕"/>
        <family val="3"/>
        <charset val="129"/>
        <scheme val="major"/>
      </rPr>
      <t>10-</t>
    </r>
    <r>
      <rPr>
        <i/>
        <sz val="10"/>
        <color rgb="FF000000"/>
        <rFont val="맑은 고딕"/>
        <family val="3"/>
        <charset val="129"/>
        <scheme val="major"/>
      </rPr>
      <t>epi</t>
    </r>
    <r>
      <rPr>
        <sz val="10"/>
        <color rgb="FF000000"/>
        <rFont val="맑은 고딕"/>
        <family val="3"/>
        <charset val="129"/>
        <scheme val="major"/>
      </rPr>
      <t>-lithospermic acid</t>
    </r>
    <phoneticPr fontId="3" type="noConversion"/>
  </si>
  <si>
    <r>
      <t>(2</t>
    </r>
    <r>
      <rPr>
        <i/>
        <sz val="10"/>
        <rFont val="맑은 고딕"/>
        <family val="3"/>
        <charset val="129"/>
        <scheme val="major"/>
      </rPr>
      <t>R</t>
    </r>
    <r>
      <rPr>
        <sz val="10"/>
        <rFont val="맑은 고딕"/>
        <family val="3"/>
        <charset val="129"/>
        <scheme val="major"/>
      </rPr>
      <t>,3</t>
    </r>
    <r>
      <rPr>
        <i/>
        <sz val="10"/>
        <rFont val="맑은 고딕"/>
        <family val="3"/>
        <charset val="129"/>
        <scheme val="major"/>
      </rPr>
      <t>R</t>
    </r>
    <r>
      <rPr>
        <sz val="10"/>
        <rFont val="맑은 고딕"/>
        <family val="3"/>
        <charset val="129"/>
        <scheme val="major"/>
      </rPr>
      <t>)-2,3-di-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-caffeoyltartaric acid (chicoric acid)</t>
    </r>
    <phoneticPr fontId="3" type="noConversion"/>
  </si>
  <si>
    <r>
      <t>1-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methyl ester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</si>
  <si>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-caffeoyl-4-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 xml:space="preserve">-feruloylquinic acid 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</si>
  <si>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 xml:space="preserve">-feruloylquinic acid 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</si>
  <si>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</t>
    </r>
    <r>
      <rPr>
        <i/>
        <sz val="10"/>
        <color rgb="FF000000"/>
        <rFont val="맑은 고딕"/>
        <family val="3"/>
        <charset val="129"/>
        <scheme val="major"/>
      </rPr>
      <t>p</t>
    </r>
    <r>
      <rPr>
        <sz val="10"/>
        <color rgb="FF000000"/>
        <rFont val="맑은 고딕"/>
        <family val="3"/>
        <charset val="129"/>
        <scheme val="major"/>
      </rPr>
      <t xml:space="preserve">-coumaroylquinic acid </t>
    </r>
    <phoneticPr fontId="3" type="noConversion"/>
  </si>
  <si>
    <r>
      <t>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 (neochlorogenic acid)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</si>
  <si>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methyl ester (neochlorogenic acid methyl ester)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</si>
  <si>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-feruloyl-4-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</si>
  <si>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</si>
  <si>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-feruloylquinic acid</t>
    </r>
    <phoneticPr fontId="3" type="noConversion"/>
  </si>
  <si>
    <r>
      <t>3-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</t>
    </r>
    <r>
      <rPr>
        <i/>
        <sz val="10"/>
        <color rgb="FF000000"/>
        <rFont val="맑은 고딕"/>
        <family val="3"/>
        <charset val="129"/>
        <scheme val="major"/>
      </rPr>
      <t>p</t>
    </r>
    <r>
      <rPr>
        <sz val="10"/>
        <color rgb="FF000000"/>
        <rFont val="맑은 고딕"/>
        <family val="3"/>
        <charset val="129"/>
        <scheme val="major"/>
      </rPr>
      <t>-coumaroyl-5-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</t>
    </r>
    <phoneticPr fontId="3" type="noConversion"/>
  </si>
  <si>
    <r>
      <t>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-coumaroyl-</t>
    </r>
    <r>
      <rPr>
        <i/>
        <sz val="10"/>
        <rFont val="맑은 고딕"/>
        <family val="3"/>
        <charset val="129"/>
        <scheme val="major"/>
      </rPr>
      <t>epi</t>
    </r>
    <r>
      <rPr>
        <sz val="10"/>
        <rFont val="맑은 고딕"/>
        <family val="3"/>
        <charset val="129"/>
        <scheme val="major"/>
      </rPr>
      <t>-quinic acid</t>
    </r>
    <phoneticPr fontId="3" type="noConversion"/>
  </si>
  <si>
    <r>
      <t>3-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-coumaroylquinic acid</t>
    </r>
    <phoneticPr fontId="3" type="noConversion"/>
  </si>
  <si>
    <r>
      <t>3,4-di-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(isochlorogenic acid B)</t>
    </r>
    <phoneticPr fontId="3" type="noConversion"/>
  </si>
  <si>
    <r>
      <t>3,5-di-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 (isochlorogenic acid A)</t>
    </r>
    <phoneticPr fontId="3" type="noConversion"/>
  </si>
  <si>
    <r>
      <t>3,5-di-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methyl ester (isochlorogenic acid A methyl ester)</t>
    </r>
    <phoneticPr fontId="3" type="noConversion"/>
  </si>
  <si>
    <r>
      <t>3,4,5-tri-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</t>
    </r>
    <phoneticPr fontId="3" type="noConversion"/>
  </si>
  <si>
    <r>
      <t>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-feruloylquinic acid</t>
    </r>
    <phoneticPr fontId="3" type="noConversion"/>
  </si>
  <si>
    <r>
      <t>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</t>
    </r>
    <phoneticPr fontId="3" type="noConversion"/>
  </si>
  <si>
    <r>
      <t>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-feruloylquinic acid</t>
    </r>
    <phoneticPr fontId="3" type="noConversion"/>
  </si>
  <si>
    <r>
      <t>4-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</t>
    </r>
    <r>
      <rPr>
        <i/>
        <sz val="10"/>
        <color rgb="FF000000"/>
        <rFont val="맑은 고딕"/>
        <family val="3"/>
        <charset val="129"/>
        <scheme val="major"/>
      </rPr>
      <t>p</t>
    </r>
    <r>
      <rPr>
        <sz val="10"/>
        <color rgb="FF000000"/>
        <rFont val="맑은 고딕"/>
        <family val="3"/>
        <charset val="129"/>
        <scheme val="major"/>
      </rPr>
      <t>-coumaroyl-5-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</t>
    </r>
    <phoneticPr fontId="3" type="noConversion"/>
  </si>
  <si>
    <r>
      <t>4-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-coumaroylquinic acid</t>
    </r>
    <phoneticPr fontId="3" type="noConversion"/>
  </si>
  <si>
    <r>
      <t>4,5-di-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 (isochlorogenic acid C)</t>
    </r>
    <phoneticPr fontId="3" type="noConversion"/>
  </si>
  <si>
    <r>
      <t>4,5-di-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methyl ester (isochlorogenic acid C methyl ester)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</si>
  <si>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-caffeoyl-1,3-quinide (5-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-caffeoyl-</t>
    </r>
    <r>
      <rPr>
        <i/>
        <sz val="10"/>
        <rFont val="맑은 고딕"/>
        <family val="3"/>
        <charset val="129"/>
        <scheme val="major"/>
      </rPr>
      <t>muco</t>
    </r>
    <r>
      <rPr>
        <sz val="10"/>
        <rFont val="맑은 고딕"/>
        <family val="3"/>
        <charset val="129"/>
        <scheme val="major"/>
      </rPr>
      <t>-γ-quinide)</t>
    </r>
    <phoneticPr fontId="3" type="noConversion"/>
  </si>
  <si>
    <r>
      <t>5-</t>
    </r>
    <r>
      <rPr>
        <i/>
        <sz val="10"/>
        <color rgb="FF000000"/>
        <rFont val="맑은 고딕"/>
        <family val="3"/>
        <charset val="129"/>
        <scheme val="major"/>
      </rPr>
      <t>O</t>
    </r>
    <r>
      <rPr>
        <sz val="10"/>
        <color rgb="FF000000"/>
        <rFont val="맑은 고딕"/>
        <family val="3"/>
        <charset val="129"/>
        <scheme val="major"/>
      </rPr>
      <t>-caffeoylquinic acid methyl ester (chlorogenic acid methyl ester)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</si>
  <si>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cis</t>
    </r>
    <r>
      <rPr>
        <sz val="10"/>
        <rFont val="맑은 고딕"/>
        <family val="3"/>
        <charset val="129"/>
        <scheme val="major"/>
      </rPr>
      <t>-caffeoylquinic acid (</t>
    </r>
    <r>
      <rPr>
        <i/>
        <sz val="10"/>
        <rFont val="맑은 고딕"/>
        <family val="3"/>
        <charset val="129"/>
        <scheme val="major"/>
      </rPr>
      <t>cis</t>
    </r>
    <r>
      <rPr>
        <sz val="10"/>
        <rFont val="맑은 고딕"/>
        <family val="3"/>
        <charset val="129"/>
        <scheme val="major"/>
      </rPr>
      <t>-chlorogenic acid)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</si>
  <si>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-feruloylquinic acid</t>
    </r>
    <phoneticPr fontId="3" type="noConversion"/>
  </si>
  <si>
    <r>
      <t>5-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</t>
    </r>
    <r>
      <rPr>
        <i/>
        <sz val="10"/>
        <rFont val="맑은 고딕"/>
        <family val="3"/>
        <charset val="129"/>
        <scheme val="major"/>
      </rPr>
      <t>p</t>
    </r>
    <r>
      <rPr>
        <sz val="10"/>
        <rFont val="맑은 고딕"/>
        <family val="3"/>
        <charset val="129"/>
        <scheme val="major"/>
      </rPr>
      <t>-coumaroylquinic acid</t>
    </r>
    <phoneticPr fontId="3" type="noConversion"/>
  </si>
  <si>
    <r>
      <t>feruloyl-</t>
    </r>
    <r>
      <rPr>
        <i/>
        <sz val="10"/>
        <color theme="1"/>
        <rFont val="맑은 고딕"/>
        <family val="3"/>
        <charset val="129"/>
        <scheme val="minor"/>
      </rPr>
      <t>N</t>
    </r>
    <r>
      <rPr>
        <sz val="10"/>
        <color theme="1"/>
        <rFont val="맑은 고딕"/>
        <family val="3"/>
        <charset val="129"/>
        <scheme val="minor"/>
      </rPr>
      <t>-tryptophan</t>
    </r>
    <phoneticPr fontId="3" type="noConversion"/>
  </si>
  <si>
    <r>
      <t>caffeoyl-</t>
    </r>
    <r>
      <rPr>
        <i/>
        <sz val="10"/>
        <color theme="1"/>
        <rFont val="맑은 고딕"/>
        <family val="3"/>
        <charset val="129"/>
        <scheme val="minor"/>
      </rPr>
      <t>N</t>
    </r>
    <r>
      <rPr>
        <sz val="10"/>
        <color theme="1"/>
        <rFont val="맑은 고딕"/>
        <family val="3"/>
        <charset val="129"/>
        <scheme val="minor"/>
      </rPr>
      <t>-tryptophan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</si>
  <si>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-coumaroyl-</t>
    </r>
    <r>
      <rPr>
        <i/>
        <sz val="10"/>
        <color theme="1"/>
        <rFont val="맑은 고딕"/>
        <family val="3"/>
        <charset val="129"/>
        <scheme val="minor"/>
      </rPr>
      <t>epi</t>
    </r>
    <r>
      <rPr>
        <sz val="10"/>
        <color theme="1"/>
        <rFont val="맑은 고딕"/>
        <family val="3"/>
        <charset val="129"/>
        <scheme val="minor"/>
      </rPr>
      <t>-quinic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</si>
  <si>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</si>
  <si>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-caffeoyl-4-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</si>
  <si>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-caffeoyl-5-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</si>
  <si>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 (neochlorogenic acid methyl ester)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</si>
  <si>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cis</t>
    </r>
    <r>
      <rPr>
        <sz val="10"/>
        <color theme="1"/>
        <rFont val="맑은 고딕"/>
        <family val="3"/>
        <charset val="129"/>
        <scheme val="minor"/>
      </rPr>
      <t>-caffeoylquinic acid (</t>
    </r>
    <r>
      <rPr>
        <i/>
        <sz val="10"/>
        <color theme="1"/>
        <rFont val="맑은 고딕"/>
        <family val="3"/>
        <charset val="129"/>
        <scheme val="minor"/>
      </rPr>
      <t>cis</t>
    </r>
    <r>
      <rPr>
        <sz val="10"/>
        <color theme="1"/>
        <rFont val="맑은 고딕"/>
        <family val="3"/>
        <charset val="129"/>
        <scheme val="minor"/>
      </rPr>
      <t>-neochlorogenic acid)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</si>
  <si>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cis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-coumaroylquinic acid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</si>
  <si>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</si>
  <si>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</si>
  <si>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-feruloylquinic acid methyl ester</t>
    </r>
    <phoneticPr fontId="3" type="noConversion"/>
  </si>
  <si>
    <r>
      <t>3-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</t>
    </r>
    <r>
      <rPr>
        <i/>
        <sz val="10"/>
        <color theme="1"/>
        <rFont val="맑은 고딕"/>
        <family val="3"/>
        <charset val="129"/>
        <scheme val="minor"/>
      </rPr>
      <t>cis</t>
    </r>
    <r>
      <rPr>
        <sz val="10"/>
        <color theme="1"/>
        <rFont val="맑은 고딕"/>
        <family val="3"/>
        <charset val="129"/>
        <scheme val="minor"/>
      </rPr>
      <t>-feruloylquinic acid</t>
    </r>
    <phoneticPr fontId="3" type="noConversion"/>
  </si>
  <si>
    <r>
      <rPr>
        <i/>
        <sz val="10"/>
        <color theme="1"/>
        <rFont val="맑은 고딕"/>
        <family val="3"/>
        <charset val="129"/>
        <scheme val="minor"/>
      </rPr>
      <t>p</t>
    </r>
    <r>
      <rPr>
        <sz val="10"/>
        <color theme="1"/>
        <rFont val="맑은 고딕"/>
        <family val="3"/>
        <charset val="129"/>
        <scheme val="minor"/>
      </rPr>
      <t>-coumaroyl-</t>
    </r>
    <r>
      <rPr>
        <i/>
        <sz val="10"/>
        <color theme="1"/>
        <rFont val="맑은 고딕"/>
        <family val="3"/>
        <charset val="129"/>
        <scheme val="minor"/>
      </rPr>
      <t>N</t>
    </r>
    <r>
      <rPr>
        <sz val="10"/>
        <color theme="1"/>
        <rFont val="맑은 고딕"/>
        <family val="3"/>
        <charset val="129"/>
        <scheme val="minor"/>
      </rPr>
      <t>-tryptophan</t>
    </r>
    <phoneticPr fontId="3" type="noConversion"/>
  </si>
  <si>
    <r>
      <t>4-</t>
    </r>
    <r>
      <rPr>
        <i/>
        <sz val="10"/>
        <rFont val="맑은 고딕"/>
        <family val="3"/>
        <charset val="129"/>
        <scheme val="major"/>
      </rPr>
      <t>O</t>
    </r>
    <r>
      <rPr>
        <sz val="10"/>
        <rFont val="맑은 고딕"/>
        <family val="3"/>
        <charset val="129"/>
        <scheme val="major"/>
      </rPr>
      <t>-caffeoylquinic acid (cryptochlorogenic acid)</t>
    </r>
    <phoneticPr fontId="3" type="noConversion"/>
  </si>
  <si>
    <r>
      <t>3,5-di-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 (isochlorogenic acid A methyl ester)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</si>
  <si>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inor"/>
      </rPr>
      <t>O</t>
    </r>
    <r>
      <rPr>
        <sz val="10"/>
        <color theme="1"/>
        <rFont val="맑은 고딕"/>
        <family val="3"/>
        <charset val="129"/>
        <scheme val="minor"/>
      </rPr>
      <t>-caffeoylquinic acid methyl ester (isochlorogenic acid C methyl ester)</t>
    </r>
    <phoneticPr fontId="3" type="noConversion"/>
  </si>
  <si>
    <r>
      <t>4,5-di-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-caffeoylquinic acid methyl ester (isochlorogenic acid C methyl ester)</t>
    </r>
    <phoneticPr fontId="3" type="noConversion"/>
  </si>
  <si>
    <r>
      <t>1-</t>
    </r>
    <r>
      <rPr>
        <i/>
        <sz val="10"/>
        <color theme="1"/>
        <rFont val="맑은 고딕"/>
        <family val="3"/>
        <charset val="129"/>
        <scheme val="major"/>
      </rPr>
      <t>O</t>
    </r>
    <r>
      <rPr>
        <sz val="10"/>
        <color theme="1"/>
        <rFont val="맑은 고딕"/>
        <family val="3"/>
        <charset val="129"/>
        <scheme val="major"/>
      </rPr>
      <t>-</t>
    </r>
    <r>
      <rPr>
        <i/>
        <sz val="10"/>
        <color theme="1"/>
        <rFont val="맑은 고딕"/>
        <family val="3"/>
        <charset val="129"/>
        <scheme val="major"/>
      </rPr>
      <t>p</t>
    </r>
    <r>
      <rPr>
        <sz val="10"/>
        <color theme="1"/>
        <rFont val="맑은 고딕"/>
        <family val="3"/>
        <charset val="129"/>
        <scheme val="major"/>
      </rPr>
      <t>-coumaroylglucoside</t>
    </r>
    <phoneticPr fontId="3" type="noConversion"/>
  </si>
  <si>
    <t>페놀산 성분명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</si>
</sst>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i/>
      <sz val="1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2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13" fillId="0" borderId="1" xfId="1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center" vertical="center" wrapText="1"/>
    </xf>
    <xf numFmtId="176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8" fillId="0" borderId="1" xfId="2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0" borderId="0" xfId="1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>
      <alignment vertical="center"/>
    </xf>
    <xf numFmtId="176" fontId="8" fillId="0" borderId="1" xfId="0" applyNumberFormat="1" applyFont="1" applyBorder="1" applyAlignment="1">
      <alignment horizontal="left" vertical="center"/>
    </xf>
    <xf numFmtId="0" fontId="12" fillId="0" borderId="1" xfId="2" applyFont="1" applyFill="1" applyBorder="1" applyAlignment="1">
      <alignment vertical="center"/>
    </xf>
    <xf numFmtId="177" fontId="14" fillId="0" borderId="1" xfId="0" applyNumberFormat="1" applyFont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1" applyFill="1" applyBorder="1">
      <alignment vertical="center"/>
    </xf>
    <xf numFmtId="0" fontId="0" fillId="0" borderId="0" xfId="0" applyFill="1" applyBorder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Fill="1" applyBorder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5">
    <cellStyle name="나쁨" xfId="1" builtinId="27"/>
    <cellStyle name="표준" xfId="0" builtinId="0"/>
    <cellStyle name="표준 2" xfId="3"/>
    <cellStyle name="표준 4" xfId="2"/>
    <cellStyle name="하이퍼링크 2" xfId="4"/>
  </cellStyles>
  <dxfs count="14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9"/>
  <sheetViews>
    <sheetView tabSelected="1" zoomScaleNormal="100" workbookViewId="0">
      <pane xSplit="1" ySplit="1" topLeftCell="T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35.125" style="37" bestFit="1" customWidth="1"/>
    <col min="2" max="2" width="12.75" style="37" bestFit="1" customWidth="1"/>
    <col min="3" max="3" width="14.625" style="37" bestFit="1" customWidth="1"/>
    <col min="4" max="5" width="12.75" style="37" bestFit="1" customWidth="1"/>
    <col min="6" max="6" width="7.625" style="37" bestFit="1" customWidth="1"/>
    <col min="7" max="12" width="9" style="37"/>
    <col min="13" max="13" width="9.625" style="37" bestFit="1" customWidth="1"/>
    <col min="14" max="17" width="9" style="37"/>
    <col min="18" max="18" width="12.75" style="37" bestFit="1" customWidth="1"/>
    <col min="19" max="19" width="9" style="37"/>
    <col min="20" max="20" width="15" style="37" bestFit="1" customWidth="1"/>
    <col min="21" max="23" width="13.25" style="37" bestFit="1" customWidth="1"/>
    <col min="24" max="25" width="18.875" style="37" bestFit="1" customWidth="1"/>
    <col min="26" max="27" width="15" style="37" bestFit="1" customWidth="1"/>
    <col min="28" max="28" width="16.75" style="37" bestFit="1" customWidth="1"/>
    <col min="29" max="16384" width="9" style="37"/>
  </cols>
  <sheetData>
    <row r="1" spans="1:254" s="35" customFormat="1" ht="15.75" customHeight="1" x14ac:dyDescent="0.3">
      <c r="A1" s="3" t="s">
        <v>67</v>
      </c>
      <c r="B1" s="3" t="s">
        <v>7</v>
      </c>
      <c r="C1" s="8" t="s">
        <v>8</v>
      </c>
      <c r="D1" s="3" t="s">
        <v>6</v>
      </c>
      <c r="E1" s="3" t="s">
        <v>4</v>
      </c>
      <c r="F1" s="8" t="s">
        <v>5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211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3</v>
      </c>
      <c r="U1" s="8" t="s">
        <v>0</v>
      </c>
      <c r="V1" s="8" t="s">
        <v>2</v>
      </c>
      <c r="W1" s="8" t="s">
        <v>1</v>
      </c>
      <c r="X1" s="8" t="s">
        <v>22</v>
      </c>
      <c r="Y1" s="8" t="s">
        <v>23</v>
      </c>
      <c r="Z1" s="8" t="s">
        <v>26</v>
      </c>
      <c r="AA1" s="8" t="s">
        <v>24</v>
      </c>
      <c r="AB1" s="8" t="s">
        <v>25</v>
      </c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</row>
    <row r="2" spans="1:254" ht="15.75" customHeight="1" x14ac:dyDescent="0.3">
      <c r="A2" s="6" t="s">
        <v>357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4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</row>
    <row r="3" spans="1:254" ht="15.75" customHeight="1" x14ac:dyDescent="0.3">
      <c r="A3" s="6" t="s">
        <v>356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0.70235737564527378</v>
      </c>
      <c r="AA3" s="9">
        <v>0</v>
      </c>
      <c r="AB3" s="9">
        <v>0</v>
      </c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</row>
    <row r="4" spans="1:254" ht="15.75" customHeight="1" x14ac:dyDescent="0.3">
      <c r="A4" s="6" t="s">
        <v>17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0.16</v>
      </c>
      <c r="K4" s="9">
        <v>0.5</v>
      </c>
      <c r="L4" s="33">
        <v>0.2420667</v>
      </c>
      <c r="M4" s="9">
        <v>0.34</v>
      </c>
      <c r="N4" s="9">
        <v>0.13</v>
      </c>
      <c r="O4" s="9">
        <v>1.44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</row>
    <row r="5" spans="1:254" ht="15.75" customHeight="1" x14ac:dyDescent="0.3">
      <c r="A5" s="6" t="s">
        <v>354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7.0000000000000007E-2</v>
      </c>
      <c r="Q5" s="9">
        <v>0.1</v>
      </c>
      <c r="R5" s="9">
        <v>0.15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</row>
    <row r="6" spans="1:254" ht="15.75" customHeight="1" x14ac:dyDescent="0.3">
      <c r="A6" s="6" t="s">
        <v>355</v>
      </c>
      <c r="B6" s="9">
        <v>0</v>
      </c>
      <c r="C6" s="9">
        <v>0</v>
      </c>
      <c r="D6" s="9">
        <v>0</v>
      </c>
      <c r="E6" s="9">
        <v>0</v>
      </c>
      <c r="F6" s="9">
        <v>0.05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1.91</v>
      </c>
      <c r="P6" s="9">
        <v>0.01</v>
      </c>
      <c r="Q6" s="9">
        <v>0.16</v>
      </c>
      <c r="R6" s="9">
        <v>0.18</v>
      </c>
      <c r="S6" s="9">
        <v>0</v>
      </c>
      <c r="T6" s="9">
        <v>0.11</v>
      </c>
      <c r="U6" s="9">
        <v>0</v>
      </c>
      <c r="V6" s="9">
        <v>0.47</v>
      </c>
      <c r="W6" s="9">
        <v>0.93</v>
      </c>
      <c r="X6" s="9">
        <v>1.34</v>
      </c>
      <c r="Y6" s="9">
        <v>1.1000000000000001</v>
      </c>
      <c r="Z6" s="9">
        <v>0.8564416626173772</v>
      </c>
      <c r="AA6" s="9">
        <v>0.21161740340313751</v>
      </c>
      <c r="AB6" s="9">
        <v>0.28206840871207234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</row>
    <row r="7" spans="1:254" ht="15.75" customHeight="1" x14ac:dyDescent="0.3">
      <c r="A7" s="6" t="s">
        <v>27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0.44330000000000003</v>
      </c>
      <c r="AA7" s="9">
        <v>0</v>
      </c>
      <c r="AB7" s="9">
        <v>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</row>
    <row r="8" spans="1:254" ht="15.75" customHeight="1" x14ac:dyDescent="0.3">
      <c r="A8" s="3" t="s">
        <v>68</v>
      </c>
      <c r="B8" s="8">
        <f t="shared" ref="B8:AB8" si="0">SUM(B2:B7)</f>
        <v>0</v>
      </c>
      <c r="C8" s="8">
        <f t="shared" si="0"/>
        <v>0</v>
      </c>
      <c r="D8" s="8">
        <f t="shared" si="0"/>
        <v>0</v>
      </c>
      <c r="E8" s="8">
        <f t="shared" si="0"/>
        <v>0</v>
      </c>
      <c r="F8" s="8">
        <f t="shared" si="0"/>
        <v>0.05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0.16</v>
      </c>
      <c r="K8" s="8">
        <f t="shared" si="0"/>
        <v>0.5</v>
      </c>
      <c r="L8" s="8">
        <f t="shared" si="0"/>
        <v>0.2420667</v>
      </c>
      <c r="M8" s="8">
        <f t="shared" si="0"/>
        <v>0.34</v>
      </c>
      <c r="N8" s="8">
        <f t="shared" si="0"/>
        <v>0.13</v>
      </c>
      <c r="O8" s="8">
        <f t="shared" si="0"/>
        <v>7.35</v>
      </c>
      <c r="P8" s="8">
        <f t="shared" si="0"/>
        <v>0.08</v>
      </c>
      <c r="Q8" s="8">
        <f t="shared" si="0"/>
        <v>0.26</v>
      </c>
      <c r="R8" s="8">
        <f t="shared" si="0"/>
        <v>0.32999999999999996</v>
      </c>
      <c r="S8" s="8">
        <f t="shared" si="0"/>
        <v>0</v>
      </c>
      <c r="T8" s="8">
        <f t="shared" si="0"/>
        <v>0.11</v>
      </c>
      <c r="U8" s="8">
        <f t="shared" si="0"/>
        <v>0</v>
      </c>
      <c r="V8" s="8">
        <f t="shared" si="0"/>
        <v>0.47</v>
      </c>
      <c r="W8" s="8">
        <f t="shared" si="0"/>
        <v>0.93</v>
      </c>
      <c r="X8" s="8">
        <f t="shared" si="0"/>
        <v>1.34</v>
      </c>
      <c r="Y8" s="8">
        <f t="shared" si="0"/>
        <v>1.1000000000000001</v>
      </c>
      <c r="Z8" s="8">
        <f t="shared" si="0"/>
        <v>2.0020990382626511</v>
      </c>
      <c r="AA8" s="8">
        <f t="shared" si="0"/>
        <v>0.21161740340313751</v>
      </c>
      <c r="AB8" s="8">
        <f t="shared" si="0"/>
        <v>0.28206840871207234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</row>
    <row r="9" spans="1:254" ht="15.75" customHeight="1" x14ac:dyDescent="0.3">
      <c r="A9" s="7" t="s">
        <v>353</v>
      </c>
    </row>
  </sheetData>
  <phoneticPr fontId="3" type="noConversion"/>
  <conditionalFormatting sqref="A5:A6">
    <cfRule type="duplicateValues" dxfId="13" priority="11"/>
  </conditionalFormatting>
  <conditionalFormatting sqref="A2:A4 A7:A9">
    <cfRule type="duplicateValues" dxfId="12" priority="12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45"/>
  <sheetViews>
    <sheetView zoomScaleNormal="100" workbookViewId="0">
      <pane xSplit="1" ySplit="1" topLeftCell="AE14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66" style="37" bestFit="1" customWidth="1"/>
    <col min="2" max="9" width="14.625" style="37" customWidth="1"/>
    <col min="10" max="10" width="14.375" style="37" customWidth="1"/>
    <col min="11" max="23" width="9.625" style="37" customWidth="1"/>
    <col min="24" max="25" width="13.25" style="37" bestFit="1" customWidth="1"/>
    <col min="26" max="26" width="15" style="37" bestFit="1" customWidth="1"/>
    <col min="27" max="28" width="13.25" style="37" bestFit="1" customWidth="1"/>
    <col min="29" max="29" width="15" style="37" bestFit="1" customWidth="1"/>
    <col min="30" max="31" width="13.25" style="37" bestFit="1" customWidth="1"/>
    <col min="32" max="32" width="15" style="37" bestFit="1" customWidth="1"/>
    <col min="33" max="34" width="13.25" style="37" bestFit="1" customWidth="1"/>
    <col min="35" max="35" width="15" style="37" bestFit="1" customWidth="1"/>
    <col min="36" max="37" width="13.25" style="37" bestFit="1" customWidth="1"/>
    <col min="38" max="38" width="8.75" style="37" bestFit="1" customWidth="1"/>
    <col min="39" max="16384" width="9" style="37"/>
  </cols>
  <sheetData>
    <row r="1" spans="1:253" s="35" customFormat="1" ht="15.75" customHeight="1" x14ac:dyDescent="0.3">
      <c r="A1" s="3" t="s">
        <v>67</v>
      </c>
      <c r="B1" s="3" t="s">
        <v>31</v>
      </c>
      <c r="C1" s="3" t="s">
        <v>30</v>
      </c>
      <c r="D1" s="3" t="s">
        <v>32</v>
      </c>
      <c r="E1" s="3" t="s">
        <v>34</v>
      </c>
      <c r="F1" s="3" t="s">
        <v>33</v>
      </c>
      <c r="G1" s="3" t="s">
        <v>35</v>
      </c>
      <c r="H1" s="3" t="s">
        <v>37</v>
      </c>
      <c r="I1" s="3" t="s">
        <v>36</v>
      </c>
      <c r="J1" s="3" t="s">
        <v>38</v>
      </c>
      <c r="K1" s="3" t="s">
        <v>39</v>
      </c>
      <c r="L1" s="3" t="s">
        <v>65</v>
      </c>
      <c r="M1" s="3" t="s">
        <v>40</v>
      </c>
      <c r="N1" s="3" t="s">
        <v>41</v>
      </c>
      <c r="O1" s="3" t="s">
        <v>66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63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60</v>
      </c>
      <c r="AJ1" s="3" t="s">
        <v>64</v>
      </c>
      <c r="AK1" s="3" t="s">
        <v>61</v>
      </c>
      <c r="AL1" s="3" t="s">
        <v>62</v>
      </c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</row>
    <row r="2" spans="1:253" ht="15.75" customHeight="1" x14ac:dyDescent="0.3">
      <c r="A2" s="28" t="s">
        <v>360</v>
      </c>
      <c r="B2" s="9">
        <v>0.25552818226138363</v>
      </c>
      <c r="C2" s="9">
        <v>0.42016487359485449</v>
      </c>
      <c r="D2" s="9">
        <v>0.33466227708493679</v>
      </c>
      <c r="E2" s="9">
        <v>2.7963028800624599E-2</v>
      </c>
      <c r="F2" s="9">
        <v>0.33562362283853991</v>
      </c>
      <c r="G2" s="9">
        <v>0.16599044058791354</v>
      </c>
      <c r="H2" s="9">
        <v>3.6529609706151087E-2</v>
      </c>
      <c r="I2" s="9">
        <v>1.0155287902750159</v>
      </c>
      <c r="J2" s="9">
        <v>0.3688272015892739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</row>
    <row r="3" spans="1:253" ht="15.75" customHeight="1" x14ac:dyDescent="0.3">
      <c r="A3" s="29" t="s">
        <v>361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1056.3082607034048</v>
      </c>
    </row>
    <row r="4" spans="1:253" ht="15.75" customHeight="1" x14ac:dyDescent="0.3">
      <c r="A4" s="29" t="s">
        <v>362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3.2187705385823246</v>
      </c>
    </row>
    <row r="5" spans="1:253" ht="15" customHeight="1" x14ac:dyDescent="0.3">
      <c r="A5" s="29" t="s">
        <v>358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106.50134357495091</v>
      </c>
    </row>
    <row r="6" spans="1:253" ht="15.75" customHeight="1" x14ac:dyDescent="0.3">
      <c r="A6" s="29" t="s">
        <v>359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52.36875593958419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</row>
    <row r="7" spans="1:253" ht="15.75" customHeight="1" x14ac:dyDescent="0.3">
      <c r="A7" s="28" t="s">
        <v>363</v>
      </c>
      <c r="B7" s="9">
        <v>3.9928013970398989E-2</v>
      </c>
      <c r="C7" s="9">
        <v>7.462360813690555E-2</v>
      </c>
      <c r="D7" s="9">
        <v>5.8934972507745653E-2</v>
      </c>
      <c r="E7" s="9">
        <v>0</v>
      </c>
      <c r="F7" s="9">
        <v>0.1547769919200658</v>
      </c>
      <c r="G7" s="9">
        <v>2.6218653562721586E-2</v>
      </c>
      <c r="H7" s="9">
        <v>7.7223171873318196E-3</v>
      </c>
      <c r="I7" s="9">
        <v>0.81451655321786809</v>
      </c>
      <c r="J7" s="9">
        <v>0.16501746660172686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</row>
    <row r="8" spans="1:253" ht="15.75" customHeight="1" x14ac:dyDescent="0.3">
      <c r="A8" s="28" t="s">
        <v>375</v>
      </c>
      <c r="B8" s="9">
        <v>0.71319097730271785</v>
      </c>
      <c r="C8" s="9">
        <v>1.2100678609700981</v>
      </c>
      <c r="D8" s="9">
        <v>0.82716330962985885</v>
      </c>
      <c r="E8" s="9">
        <v>2.2112191630739002E-2</v>
      </c>
      <c r="F8" s="9">
        <v>0.3197675489025455</v>
      </c>
      <c r="G8" s="9">
        <v>0.11131701922822916</v>
      </c>
      <c r="H8" s="9">
        <v>4.8680609134928519E-2</v>
      </c>
      <c r="I8" s="9">
        <v>0.41924874234914727</v>
      </c>
      <c r="J8" s="9">
        <v>0.16563664224865615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</row>
    <row r="9" spans="1:253" ht="15.75" customHeight="1" x14ac:dyDescent="0.3">
      <c r="A9" s="28" t="s">
        <v>376</v>
      </c>
      <c r="B9" s="9">
        <v>4.6896450833286414</v>
      </c>
      <c r="C9" s="9">
        <v>7.4125446307488119</v>
      </c>
      <c r="D9" s="9">
        <v>7.1418828696694838</v>
      </c>
      <c r="E9" s="9">
        <v>0.26136271707347503</v>
      </c>
      <c r="F9" s="9">
        <v>4.8560007097932134</v>
      </c>
      <c r="G9" s="9">
        <v>2.073435943902203</v>
      </c>
      <c r="H9" s="9">
        <v>0.35328982900500855</v>
      </c>
      <c r="I9" s="9">
        <v>12.1758120141655</v>
      </c>
      <c r="J9" s="9">
        <v>4.6683856669164427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0.52794894157734129</v>
      </c>
    </row>
    <row r="10" spans="1:253" ht="15.75" customHeight="1" x14ac:dyDescent="0.3">
      <c r="A10" s="28" t="s">
        <v>377</v>
      </c>
      <c r="B10" s="9">
        <v>0.14660785010558855</v>
      </c>
      <c r="C10" s="9">
        <v>0.11111449059155698</v>
      </c>
      <c r="D10" s="9">
        <v>0.15099191993081074</v>
      </c>
      <c r="E10" s="9">
        <v>0</v>
      </c>
      <c r="F10" s="9">
        <v>5.7150155140680121E-2</v>
      </c>
      <c r="G10" s="9">
        <v>1.9308059292275102E-2</v>
      </c>
      <c r="H10" s="9">
        <v>2.3930696719553928E-2</v>
      </c>
      <c r="I10" s="9">
        <v>0.10282216428277585</v>
      </c>
      <c r="J10" s="9">
        <v>4.7328746088069661E-2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</row>
    <row r="11" spans="1:253" ht="15.75" customHeight="1" x14ac:dyDescent="0.3">
      <c r="A11" s="28" t="s">
        <v>378</v>
      </c>
      <c r="B11" s="9">
        <v>3.9628467606030058</v>
      </c>
      <c r="C11" s="9">
        <v>7.5338676334071737</v>
      </c>
      <c r="D11" s="9">
        <v>4.597340310046671</v>
      </c>
      <c r="E11" s="9">
        <v>0.19164471179552023</v>
      </c>
      <c r="F11" s="9">
        <v>2.3522221150173324</v>
      </c>
      <c r="G11" s="9">
        <v>1.0734749453437702</v>
      </c>
      <c r="H11" s="9">
        <v>0.2584116553370403</v>
      </c>
      <c r="I11" s="9">
        <v>3.6088857486647807</v>
      </c>
      <c r="J11" s="9">
        <v>1.6090399850317147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</row>
    <row r="12" spans="1:253" ht="15.75" customHeight="1" x14ac:dyDescent="0.3">
      <c r="A12" s="28" t="s">
        <v>379</v>
      </c>
      <c r="B12" s="9">
        <v>32.28010741091596</v>
      </c>
      <c r="C12" s="9">
        <v>28.558643379581131</v>
      </c>
      <c r="D12" s="9">
        <v>39.922964423879328</v>
      </c>
      <c r="E12" s="9">
        <v>15.926803219554833</v>
      </c>
      <c r="F12" s="9">
        <v>50.054296585547483</v>
      </c>
      <c r="G12" s="9">
        <v>45.299656929120424</v>
      </c>
      <c r="H12" s="9">
        <v>5.7977006536153715</v>
      </c>
      <c r="I12" s="9">
        <v>82.443942593170746</v>
      </c>
      <c r="J12" s="9">
        <v>35.307969106136191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81.935569943679369</v>
      </c>
    </row>
    <row r="13" spans="1:253" ht="15.75" customHeight="1" x14ac:dyDescent="0.3">
      <c r="A13" s="28" t="s">
        <v>380</v>
      </c>
      <c r="B13" s="9">
        <v>0.11412204676195366</v>
      </c>
      <c r="C13" s="9">
        <v>0.4695373797628597</v>
      </c>
      <c r="D13" s="9">
        <v>0.20569315519970707</v>
      </c>
      <c r="E13" s="9">
        <v>0</v>
      </c>
      <c r="F13" s="9">
        <v>2.5943174478246022E-2</v>
      </c>
      <c r="G13" s="9">
        <v>0</v>
      </c>
      <c r="H13" s="9">
        <v>0</v>
      </c>
      <c r="I13" s="9">
        <v>7.4280289716149847E-2</v>
      </c>
      <c r="J13" s="9">
        <v>2.9159305173766886E-2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</row>
    <row r="14" spans="1:253" ht="15.75" customHeight="1" x14ac:dyDescent="0.3">
      <c r="A14" s="28" t="s">
        <v>367</v>
      </c>
      <c r="B14" s="9">
        <v>0.1523010600809013</v>
      </c>
      <c r="C14" s="9">
        <v>0.30363520428711399</v>
      </c>
      <c r="D14" s="9">
        <v>0.17803448116975096</v>
      </c>
      <c r="E14" s="9">
        <v>0</v>
      </c>
      <c r="F14" s="9">
        <v>4.8112863158951837E-2</v>
      </c>
      <c r="G14" s="9">
        <v>1.8375466948001903E-2</v>
      </c>
      <c r="H14" s="9">
        <v>1.2462805051059974E-2</v>
      </c>
      <c r="I14" s="9">
        <v>0.11895235124036051</v>
      </c>
      <c r="J14" s="9">
        <v>4.4039301237239765E-2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</row>
    <row r="15" spans="1:253" ht="15.75" customHeight="1" x14ac:dyDescent="0.3">
      <c r="A15" s="28" t="s">
        <v>365</v>
      </c>
      <c r="B15" s="9">
        <v>0.93456195631122496</v>
      </c>
      <c r="C15" s="9">
        <v>0.3274236921008114</v>
      </c>
      <c r="D15" s="9">
        <v>1.148669123428719</v>
      </c>
      <c r="E15" s="9">
        <v>0</v>
      </c>
      <c r="F15" s="9">
        <v>5.5069525294168954E-2</v>
      </c>
      <c r="G15" s="9">
        <v>2.703328508166537E-2</v>
      </c>
      <c r="H15" s="9">
        <v>5.3436449956309133E-2</v>
      </c>
      <c r="I15" s="9">
        <v>0.33973165679113787</v>
      </c>
      <c r="J15" s="9">
        <v>0.181623588531589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</row>
    <row r="16" spans="1:253" ht="15.75" customHeight="1" x14ac:dyDescent="0.3">
      <c r="A16" s="28" t="s">
        <v>366</v>
      </c>
      <c r="B16" s="9">
        <v>4.4852032547167857</v>
      </c>
      <c r="C16" s="9">
        <v>0.6557926687569906</v>
      </c>
      <c r="D16" s="9">
        <v>4.6419469109861078</v>
      </c>
      <c r="E16" s="9">
        <v>0.1760178826356058</v>
      </c>
      <c r="F16" s="9">
        <v>0.70097450040015119</v>
      </c>
      <c r="G16" s="9">
        <v>0.50313252088257565</v>
      </c>
      <c r="H16" s="9">
        <v>0.32348942067732683</v>
      </c>
      <c r="I16" s="9">
        <v>2.4258786026413794</v>
      </c>
      <c r="J16" s="9">
        <v>1.2984665020221244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</row>
    <row r="17" spans="1:38" ht="15.75" customHeight="1" x14ac:dyDescent="0.3">
      <c r="A17" s="28" t="s">
        <v>364</v>
      </c>
      <c r="B17" s="9">
        <v>0.64826158452096894</v>
      </c>
      <c r="C17" s="9">
        <v>0.51669224678086501</v>
      </c>
      <c r="D17" s="9">
        <v>0.7930716790617276</v>
      </c>
      <c r="E17" s="9">
        <v>5.1430503911004954E-2</v>
      </c>
      <c r="F17" s="9">
        <v>0.21965522869852025</v>
      </c>
      <c r="G17" s="9">
        <v>0.14146773967318396</v>
      </c>
      <c r="H17" s="9">
        <v>8.3734367137469456E-2</v>
      </c>
      <c r="I17" s="9">
        <v>0.650184026253388</v>
      </c>
      <c r="J17" s="9">
        <v>0.29850872988066462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16">
        <v>0.01</v>
      </c>
      <c r="X17" s="9">
        <v>0</v>
      </c>
      <c r="Y17" s="9">
        <v>0.10112025647725091</v>
      </c>
      <c r="Z17" s="9">
        <v>5.2500940685675269E-2</v>
      </c>
      <c r="AA17" s="9">
        <v>1.7025069288449426</v>
      </c>
      <c r="AB17" s="9">
        <v>0.19053628781195275</v>
      </c>
      <c r="AC17" s="9">
        <v>7.907830998304681E-2</v>
      </c>
      <c r="AD17" s="9">
        <v>1.9105681708608067</v>
      </c>
      <c r="AE17" s="9">
        <v>0.22582060709926199</v>
      </c>
      <c r="AF17" s="9">
        <v>1.2410388738753688</v>
      </c>
      <c r="AG17" s="9">
        <v>4.5400444537470301</v>
      </c>
      <c r="AH17" s="9">
        <v>2.2601095518846606</v>
      </c>
      <c r="AI17" s="9">
        <v>0.80752943251284304</v>
      </c>
      <c r="AJ17" s="9">
        <v>1.0470203936674045</v>
      </c>
      <c r="AK17" s="9">
        <v>1.5279524207207285</v>
      </c>
      <c r="AL17" s="9">
        <v>3.5330336475229895</v>
      </c>
    </row>
    <row r="18" spans="1:38" ht="15.75" customHeight="1" x14ac:dyDescent="0.3">
      <c r="A18" s="28" t="s">
        <v>368</v>
      </c>
      <c r="B18" s="9">
        <v>0.19548723259296041</v>
      </c>
      <c r="C18" s="9">
        <v>1.1749263010823372</v>
      </c>
      <c r="D18" s="9">
        <v>0.36554811176006297</v>
      </c>
      <c r="E18" s="9">
        <v>0</v>
      </c>
      <c r="F18" s="9">
        <v>0.14983562191834907</v>
      </c>
      <c r="G18" s="9">
        <v>5.6258971533486489E-2</v>
      </c>
      <c r="H18" s="9">
        <v>2.1911112775559721E-2</v>
      </c>
      <c r="I18" s="9">
        <v>0.31786183978814647</v>
      </c>
      <c r="J18" s="9">
        <v>0.12428054420506467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</row>
    <row r="19" spans="1:38" ht="15.75" customHeight="1" x14ac:dyDescent="0.3">
      <c r="A19" s="28" t="s">
        <v>369</v>
      </c>
      <c r="B19" s="9">
        <v>0.74868187881356707</v>
      </c>
      <c r="C19" s="9">
        <v>0.31541577817452054</v>
      </c>
      <c r="D19" s="9">
        <v>0.80237318962615156</v>
      </c>
      <c r="E19" s="9">
        <v>0</v>
      </c>
      <c r="F19" s="9">
        <v>7.7038149956068599E-2</v>
      </c>
      <c r="G19" s="9">
        <v>1.7997302580441771E-2</v>
      </c>
      <c r="H19" s="9">
        <v>6.2894886199544184E-2</v>
      </c>
      <c r="I19" s="9">
        <v>0.27397652754269303</v>
      </c>
      <c r="J19" s="9">
        <v>0.14715909423940074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</row>
    <row r="20" spans="1:38" ht="15.75" customHeight="1" x14ac:dyDescent="0.3">
      <c r="A20" s="31" t="s">
        <v>370</v>
      </c>
      <c r="B20" s="9">
        <v>2.2848524048120371</v>
      </c>
      <c r="C20" s="9">
        <v>1.0829643418023973</v>
      </c>
      <c r="D20" s="9">
        <v>2.4711576940907736</v>
      </c>
      <c r="E20" s="9">
        <v>9.4876096922059353E-2</v>
      </c>
      <c r="F20" s="9">
        <v>0.43295869799795178</v>
      </c>
      <c r="G20" s="9">
        <v>0.3236700284103361</v>
      </c>
      <c r="H20" s="9">
        <v>0.24479761094307328</v>
      </c>
      <c r="I20" s="9">
        <v>1.4061621342252202</v>
      </c>
      <c r="J20" s="9">
        <v>0.82673468718152476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</row>
    <row r="21" spans="1:38" ht="15.75" customHeight="1" x14ac:dyDescent="0.3">
      <c r="A21" s="28" t="s">
        <v>372</v>
      </c>
      <c r="B21" s="9">
        <v>2.2535546809282075E-2</v>
      </c>
      <c r="C21" s="9">
        <v>0.24500047263647148</v>
      </c>
      <c r="D21" s="9">
        <v>3.8464424117648464E-2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</row>
    <row r="22" spans="1:38" ht="15.75" customHeight="1" x14ac:dyDescent="0.3">
      <c r="A22" s="28" t="s">
        <v>373</v>
      </c>
      <c r="B22" s="9">
        <v>0.28600017829983854</v>
      </c>
      <c r="C22" s="9">
        <v>1.7372754926527392</v>
      </c>
      <c r="D22" s="9">
        <v>0.56949604023042866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</row>
    <row r="23" spans="1:38" ht="15.75" customHeight="1" x14ac:dyDescent="0.3">
      <c r="A23" s="28" t="s">
        <v>371</v>
      </c>
      <c r="B23" s="9">
        <v>0.21275447685188295</v>
      </c>
      <c r="C23" s="9">
        <v>3.2101686584426532</v>
      </c>
      <c r="D23" s="9">
        <v>0.54855592355427196</v>
      </c>
      <c r="E23" s="9">
        <v>0</v>
      </c>
      <c r="F23" s="9">
        <v>0.26917286864937751</v>
      </c>
      <c r="G23" s="9">
        <v>9.6565412311655066E-2</v>
      </c>
      <c r="H23" s="9">
        <v>0</v>
      </c>
      <c r="I23" s="9">
        <v>3.1255567834616062E-2</v>
      </c>
      <c r="J23" s="9">
        <v>2.5014845811929521E-2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</row>
    <row r="24" spans="1:38" ht="15.75" customHeight="1" x14ac:dyDescent="0.3">
      <c r="A24" s="28" t="s">
        <v>374</v>
      </c>
      <c r="B24" s="9">
        <v>5.6987320867812406E-2</v>
      </c>
      <c r="C24" s="9">
        <v>0.29141563676176413</v>
      </c>
      <c r="D24" s="9">
        <v>8.9773814326962978E-2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</row>
    <row r="25" spans="1:38" ht="15.75" customHeight="1" x14ac:dyDescent="0.3">
      <c r="A25" s="29" t="s">
        <v>387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48.758743796843277</v>
      </c>
    </row>
    <row r="26" spans="1:38" ht="15.75" customHeight="1" x14ac:dyDescent="0.3">
      <c r="A26" s="28" t="s">
        <v>385</v>
      </c>
      <c r="B26" s="9">
        <v>0.86825286737381047</v>
      </c>
      <c r="C26" s="9">
        <v>6.0694302218101805</v>
      </c>
      <c r="D26" s="9">
        <v>2.1752072369879643</v>
      </c>
      <c r="E26" s="9">
        <v>0.12789946062725119</v>
      </c>
      <c r="F26" s="9">
        <v>2.922394702440172</v>
      </c>
      <c r="G26" s="9">
        <v>1.0879898021659382</v>
      </c>
      <c r="H26" s="9">
        <v>0.12428434463649513</v>
      </c>
      <c r="I26" s="9">
        <v>13.156176475453089</v>
      </c>
      <c r="J26" s="9">
        <v>3.6405079251255583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2.1501286759601745</v>
      </c>
    </row>
    <row r="27" spans="1:38" ht="15.75" customHeight="1" x14ac:dyDescent="0.3">
      <c r="A27" s="28" t="s">
        <v>386</v>
      </c>
      <c r="B27" s="9">
        <v>2.0106441234742093E-2</v>
      </c>
      <c r="C27" s="9">
        <v>0.12367918062209078</v>
      </c>
      <c r="D27" s="9">
        <v>3.465130505179765E-2</v>
      </c>
      <c r="E27" s="9">
        <v>0</v>
      </c>
      <c r="F27" s="9">
        <v>2.1825122785883833E-2</v>
      </c>
      <c r="G27" s="9">
        <v>0</v>
      </c>
      <c r="H27" s="9">
        <v>0</v>
      </c>
      <c r="I27" s="9">
        <v>4.841625848619973E-2</v>
      </c>
      <c r="J27" s="9">
        <v>8.2369213118363375E-3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</row>
    <row r="28" spans="1:38" ht="15.75" customHeight="1" x14ac:dyDescent="0.3">
      <c r="A28" s="29" t="s">
        <v>384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26.759708884473003</v>
      </c>
    </row>
    <row r="29" spans="1:38" ht="15.75" customHeight="1" x14ac:dyDescent="0.3">
      <c r="A29" s="28" t="s">
        <v>382</v>
      </c>
      <c r="B29" s="9">
        <v>0.22781146188675497</v>
      </c>
      <c r="C29" s="9">
        <v>0.27863260074521023</v>
      </c>
      <c r="D29" s="9">
        <v>0.37195928075088119</v>
      </c>
      <c r="E29" s="9">
        <v>0</v>
      </c>
      <c r="F29" s="9">
        <v>8.0659466969151092E-2</v>
      </c>
      <c r="G29" s="9">
        <v>2.9102463153049693E-2</v>
      </c>
      <c r="H29" s="9">
        <v>1.3446943461605724E-2</v>
      </c>
      <c r="I29" s="9">
        <v>0.70173825208426088</v>
      </c>
      <c r="J29" s="9">
        <v>0.22406933920695379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</row>
    <row r="30" spans="1:38" ht="15.75" customHeight="1" x14ac:dyDescent="0.3">
      <c r="A30" s="28" t="s">
        <v>381</v>
      </c>
      <c r="B30" s="9">
        <v>0.11805205793782259</v>
      </c>
      <c r="C30" s="9">
        <v>0.18913886918755463</v>
      </c>
      <c r="D30" s="9">
        <v>0.15713994626374075</v>
      </c>
      <c r="E30" s="9">
        <v>2.8142169847160035E-2</v>
      </c>
      <c r="F30" s="9">
        <v>0.13210852576069421</v>
      </c>
      <c r="G30" s="9">
        <v>6.3468445725881492E-2</v>
      </c>
      <c r="H30" s="9">
        <v>5.2135738376737857E-2</v>
      </c>
      <c r="I30" s="9">
        <v>0.4359805661080709</v>
      </c>
      <c r="J30" s="9">
        <v>0.19813847509419003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0.02</v>
      </c>
      <c r="X30" s="9">
        <v>0</v>
      </c>
      <c r="Y30" s="9">
        <v>0.26803297149239458</v>
      </c>
      <c r="Z30" s="9">
        <v>9.6774761746654281E-2</v>
      </c>
      <c r="AA30" s="9">
        <v>5.3429291920356476</v>
      </c>
      <c r="AB30" s="9">
        <v>0.58106964613228074</v>
      </c>
      <c r="AC30" s="9">
        <v>0.21093201860106758</v>
      </c>
      <c r="AD30" s="9">
        <v>8.4271555322978688</v>
      </c>
      <c r="AE30" s="9">
        <v>0.79284976856915901</v>
      </c>
      <c r="AF30" s="9">
        <v>2.1645814778835439</v>
      </c>
      <c r="AG30" s="9">
        <v>15.301895922790273</v>
      </c>
      <c r="AH30" s="9">
        <v>4.6586426317904541</v>
      </c>
      <c r="AI30" s="9">
        <v>1.8515568495496633</v>
      </c>
      <c r="AJ30" s="9">
        <v>4.4789736982234736</v>
      </c>
      <c r="AK30" s="9">
        <v>4.0063192138919232</v>
      </c>
      <c r="AL30" s="9">
        <v>0.8060103273558582</v>
      </c>
    </row>
    <row r="31" spans="1:38" ht="15.75" customHeight="1" x14ac:dyDescent="0.3">
      <c r="A31" s="28" t="s">
        <v>383</v>
      </c>
      <c r="B31" s="9">
        <v>0.7545223533350689</v>
      </c>
      <c r="C31" s="9">
        <v>9.8039618120755119</v>
      </c>
      <c r="D31" s="9">
        <v>2.4515399066934891</v>
      </c>
      <c r="E31" s="9">
        <v>7.476582423905799E-2</v>
      </c>
      <c r="F31" s="9">
        <v>0.72794304789485853</v>
      </c>
      <c r="G31" s="9">
        <v>0.33379598342185396</v>
      </c>
      <c r="H31" s="9">
        <v>3.8756179497415347E-2</v>
      </c>
      <c r="I31" s="9">
        <v>1.3564053931171716</v>
      </c>
      <c r="J31" s="9">
        <v>0.43514491925318399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</row>
    <row r="32" spans="1:38" ht="15.75" customHeight="1" x14ac:dyDescent="0.3">
      <c r="A32" s="28" t="s">
        <v>389</v>
      </c>
      <c r="B32" s="9">
        <v>1.6457540478986903</v>
      </c>
      <c r="C32" s="9">
        <v>4.9148670515821502</v>
      </c>
      <c r="D32" s="9">
        <v>1.7668830858523783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</row>
    <row r="33" spans="1:38" ht="15.75" customHeight="1" x14ac:dyDescent="0.3">
      <c r="A33" s="28" t="s">
        <v>388</v>
      </c>
      <c r="B33" s="9">
        <v>0.53743350279005053</v>
      </c>
      <c r="C33" s="9">
        <v>12.625138360868208</v>
      </c>
      <c r="D33" s="9">
        <v>1.6704449918326569</v>
      </c>
      <c r="E33" s="9">
        <v>5.7666445867852023E-2</v>
      </c>
      <c r="F33" s="9">
        <v>0.93381978745630312</v>
      </c>
      <c r="G33" s="9">
        <v>0.24625911836249467</v>
      </c>
      <c r="H33" s="9">
        <v>0</v>
      </c>
      <c r="I33" s="9">
        <v>0.20299264530691619</v>
      </c>
      <c r="J33" s="9">
        <v>5.8387811966098074E-2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</row>
    <row r="34" spans="1:38" ht="15.75" customHeight="1" x14ac:dyDescent="0.3">
      <c r="A34" s="28" t="s">
        <v>390</v>
      </c>
      <c r="B34" s="9">
        <v>8.4082624491117031E-2</v>
      </c>
      <c r="C34" s="9">
        <v>0.48720649222304102</v>
      </c>
      <c r="D34" s="9">
        <v>0.11423806105938594</v>
      </c>
      <c r="E34" s="9">
        <v>0</v>
      </c>
      <c r="F34" s="9">
        <v>1.2577725011567717E-2</v>
      </c>
      <c r="G34" s="9">
        <v>0</v>
      </c>
      <c r="H34" s="9">
        <v>0</v>
      </c>
      <c r="I34" s="9">
        <v>2.8715610764457417E-2</v>
      </c>
      <c r="J34" s="9">
        <v>6.8367225106809029E-3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</row>
    <row r="35" spans="1:38" ht="15.75" customHeight="1" x14ac:dyDescent="0.3">
      <c r="A35" s="29" t="s">
        <v>393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49.729196354841029</v>
      </c>
    </row>
    <row r="36" spans="1:38" ht="15.75" customHeight="1" x14ac:dyDescent="0.3">
      <c r="A36" s="28" t="s">
        <v>391</v>
      </c>
      <c r="B36" s="9">
        <v>21.147772497794367</v>
      </c>
      <c r="C36" s="9">
        <v>38.53462265869652</v>
      </c>
      <c r="D36" s="9">
        <v>33.233945621642107</v>
      </c>
      <c r="E36" s="9">
        <v>7.7777843756524936</v>
      </c>
      <c r="F36" s="9">
        <v>7.7246856086999189</v>
      </c>
      <c r="G36" s="9">
        <v>11.675634316817037</v>
      </c>
      <c r="H36" s="9">
        <v>3.4779808940325783</v>
      </c>
      <c r="I36" s="9">
        <v>12.219245740073077</v>
      </c>
      <c r="J36" s="9">
        <v>8.9092441540047123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1.4363166895624371</v>
      </c>
      <c r="Z36" s="9">
        <v>1.3501847069140152</v>
      </c>
      <c r="AA36" s="9">
        <v>32.19866801397383</v>
      </c>
      <c r="AB36" s="9">
        <v>4.0885644825958769</v>
      </c>
      <c r="AC36" s="9">
        <v>2.2742322156289734</v>
      </c>
      <c r="AD36" s="9">
        <v>88.875240700466861</v>
      </c>
      <c r="AE36" s="9">
        <v>7.8741803233115606</v>
      </c>
      <c r="AF36" s="9">
        <v>12.389326255171211</v>
      </c>
      <c r="AG36" s="9">
        <v>124.38152509579493</v>
      </c>
      <c r="AH36" s="9">
        <v>29.709234143910532</v>
      </c>
      <c r="AI36" s="9">
        <v>13.403816160094456</v>
      </c>
      <c r="AJ36" s="9">
        <v>50.967033612578291</v>
      </c>
      <c r="AK36" s="9">
        <v>38.269672583818256</v>
      </c>
      <c r="AL36" s="9">
        <v>242.54511645068723</v>
      </c>
    </row>
    <row r="37" spans="1:38" ht="15.75" customHeight="1" x14ac:dyDescent="0.3">
      <c r="A37" s="28" t="s">
        <v>392</v>
      </c>
      <c r="B37" s="9">
        <v>0.24761896546176265</v>
      </c>
      <c r="C37" s="9">
        <v>0.48870788859665515</v>
      </c>
      <c r="D37" s="9">
        <v>0.3239756464755823</v>
      </c>
      <c r="E37" s="9">
        <v>0.11152360932152834</v>
      </c>
      <c r="F37" s="9">
        <v>0.16006313503803496</v>
      </c>
      <c r="G37" s="9">
        <v>0.17409266706867096</v>
      </c>
      <c r="H37" s="9">
        <v>4.4861407887644443E-2</v>
      </c>
      <c r="I37" s="9">
        <v>0.24135043550532265</v>
      </c>
      <c r="J37" s="9">
        <v>0.11635058493652987</v>
      </c>
      <c r="K37" s="9">
        <v>0</v>
      </c>
      <c r="L37" s="9">
        <v>5.3117044867825758E-2</v>
      </c>
      <c r="M37" s="9" t="s">
        <v>28</v>
      </c>
      <c r="N37" s="9" t="s">
        <v>28</v>
      </c>
      <c r="O37" s="9">
        <v>0.26733186756214683</v>
      </c>
      <c r="P37" s="9">
        <v>3.759996797807779E-2</v>
      </c>
      <c r="Q37" s="9">
        <v>0</v>
      </c>
      <c r="R37" s="9">
        <v>0.2873650311192017</v>
      </c>
      <c r="S37" s="9">
        <v>2.7343753684309288E-2</v>
      </c>
      <c r="T37" s="9">
        <v>0</v>
      </c>
      <c r="U37" s="9">
        <v>0.16146908361231757</v>
      </c>
      <c r="V37" s="9">
        <v>1.7221858172373202E-2</v>
      </c>
      <c r="W37" s="9" t="s">
        <v>28</v>
      </c>
      <c r="X37" s="9">
        <v>3.0433071625657362E-2</v>
      </c>
      <c r="Y37" s="9" t="s">
        <v>28</v>
      </c>
      <c r="Z37" s="9">
        <v>0</v>
      </c>
      <c r="AA37" s="9">
        <v>0.24087917542030288</v>
      </c>
      <c r="AB37" s="9">
        <v>2.0166791202473791E-2</v>
      </c>
      <c r="AC37" s="9">
        <v>1.5709886805266523E-2</v>
      </c>
      <c r="AD37" s="9">
        <v>0.71887101930527397</v>
      </c>
      <c r="AE37" s="9">
        <v>7.9376897788614495E-2</v>
      </c>
      <c r="AF37" s="9">
        <v>0.1144296184504953</v>
      </c>
      <c r="AG37" s="9">
        <v>0.79066359857055424</v>
      </c>
      <c r="AH37" s="9">
        <v>0.29773290513275202</v>
      </c>
      <c r="AI37" s="9">
        <v>0.15090446148605752</v>
      </c>
      <c r="AJ37" s="9">
        <v>0.35204080217621092</v>
      </c>
      <c r="AK37" s="9">
        <v>0.40872291532837962</v>
      </c>
      <c r="AL37" s="9">
        <v>0</v>
      </c>
    </row>
    <row r="38" spans="1:38" ht="15.75" customHeight="1" x14ac:dyDescent="0.3">
      <c r="A38" s="28" t="s">
        <v>394</v>
      </c>
      <c r="B38" s="9">
        <v>4.3884398485905463</v>
      </c>
      <c r="C38" s="9">
        <v>2.1529130935570335</v>
      </c>
      <c r="D38" s="9">
        <v>5.3588976019764969</v>
      </c>
      <c r="E38" s="9">
        <v>0.31653987922089105</v>
      </c>
      <c r="F38" s="9">
        <v>0.23290245466666734</v>
      </c>
      <c r="G38" s="9">
        <v>0.36844293039032966</v>
      </c>
      <c r="H38" s="9">
        <v>0.8131757721777384</v>
      </c>
      <c r="I38" s="9">
        <v>1.0552792162260831</v>
      </c>
      <c r="J38" s="9">
        <v>1.1368865395621348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</row>
    <row r="39" spans="1:38" ht="15.75" customHeight="1" x14ac:dyDescent="0.3">
      <c r="A39" s="29" t="s">
        <v>395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1.7892485725284777</v>
      </c>
    </row>
    <row r="40" spans="1:38" ht="15.75" customHeight="1" x14ac:dyDescent="0.3">
      <c r="A40" s="28" t="s">
        <v>396</v>
      </c>
      <c r="B40" s="9">
        <v>9.0583329460378573E-2</v>
      </c>
      <c r="C40" s="9">
        <v>1.8414172048797373</v>
      </c>
      <c r="D40" s="9">
        <v>0.27401047657425237</v>
      </c>
      <c r="E40" s="9">
        <v>0</v>
      </c>
      <c r="F40" s="9">
        <v>0.12345732735642422</v>
      </c>
      <c r="G40" s="9">
        <v>3.2134335120233871E-2</v>
      </c>
      <c r="H40" s="9">
        <v>0</v>
      </c>
      <c r="I40" s="9">
        <v>1.7960629898657238E-2</v>
      </c>
      <c r="J40" s="9">
        <v>1.0416051153285649E-2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</row>
    <row r="41" spans="1:38" ht="15.75" customHeight="1" x14ac:dyDescent="0.3">
      <c r="A41" s="28" t="s">
        <v>397</v>
      </c>
      <c r="B41" s="9">
        <v>2.1274568593979845E-2</v>
      </c>
      <c r="C41" s="9">
        <v>0.10488245893222053</v>
      </c>
      <c r="D41" s="9">
        <v>3.4270728332148261E-2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</row>
    <row r="42" spans="1:38" ht="15.75" customHeight="1" x14ac:dyDescent="0.3">
      <c r="A42" s="28" t="s">
        <v>398</v>
      </c>
      <c r="B42" s="9">
        <v>0.35151683358142244</v>
      </c>
      <c r="C42" s="9">
        <v>0.18934790991306094</v>
      </c>
      <c r="D42" s="9">
        <v>0.4082217956903344</v>
      </c>
      <c r="E42" s="9">
        <v>0.21249841390597149</v>
      </c>
      <c r="F42" s="9">
        <v>1.9427265026115796</v>
      </c>
      <c r="G42" s="9">
        <v>1.4822091995397499</v>
      </c>
      <c r="H42" s="9">
        <v>0</v>
      </c>
      <c r="I42" s="9">
        <v>5.3024047139517076E-2</v>
      </c>
      <c r="J42" s="9">
        <v>3.4398280965719563E-2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</row>
    <row r="43" spans="1:38" ht="15.75" customHeight="1" x14ac:dyDescent="0.3">
      <c r="A43" s="28" t="s">
        <v>327</v>
      </c>
      <c r="B43" s="9">
        <v>1.0523820186303683</v>
      </c>
      <c r="C43" s="9">
        <v>13.564019325741485</v>
      </c>
      <c r="D43" s="9">
        <v>2.7236887857665599</v>
      </c>
      <c r="E43" s="9">
        <v>0.80373494162076176</v>
      </c>
      <c r="F43" s="9">
        <v>21.934052801518295</v>
      </c>
      <c r="G43" s="9">
        <v>5.0574745675700141</v>
      </c>
      <c r="H43" s="9">
        <v>0.83108439792018851</v>
      </c>
      <c r="I43" s="9">
        <v>75.298088737917794</v>
      </c>
      <c r="J43" s="9">
        <v>12.942555160081277</v>
      </c>
      <c r="K43" s="9" t="s">
        <v>28</v>
      </c>
      <c r="L43" s="9">
        <v>18.785154086893012</v>
      </c>
      <c r="M43" s="9">
        <v>1.3928460912102227</v>
      </c>
      <c r="N43" s="9" t="s">
        <v>28</v>
      </c>
      <c r="O43" s="9">
        <v>33.269466006774017</v>
      </c>
      <c r="P43" s="9">
        <v>2.0554306604366079</v>
      </c>
      <c r="Q43" s="9">
        <v>2.6224612097174176E-2</v>
      </c>
      <c r="R43" s="9">
        <v>19.799668005654809</v>
      </c>
      <c r="S43" s="9">
        <v>1.6800594762475305</v>
      </c>
      <c r="T43" s="9">
        <v>1.2056423323337321E-2</v>
      </c>
      <c r="U43" s="9">
        <v>20.365998838561591</v>
      </c>
      <c r="V43" s="9">
        <v>1.6766254433258325</v>
      </c>
      <c r="W43" s="9" t="s">
        <v>28</v>
      </c>
      <c r="X43" s="9">
        <v>22.509122524433284</v>
      </c>
      <c r="Y43" s="9">
        <v>1.3338721852588815</v>
      </c>
      <c r="Z43" s="9">
        <v>2.1218471011116458E-2</v>
      </c>
      <c r="AA43" s="9">
        <v>23.50223741936075</v>
      </c>
      <c r="AB43" s="9">
        <v>1.523485744175239</v>
      </c>
      <c r="AC43" s="9">
        <v>1.9895324472289175E-2</v>
      </c>
      <c r="AD43" s="9">
        <v>61.790552531575429</v>
      </c>
      <c r="AE43" s="9">
        <v>3.5479191732016502</v>
      </c>
      <c r="AF43" s="9">
        <v>6.5133941186614433E-2</v>
      </c>
      <c r="AG43" s="9">
        <v>28.163155948618421</v>
      </c>
      <c r="AH43" s="9">
        <v>2.3383056369728394</v>
      </c>
      <c r="AI43" s="9">
        <v>0.26271151363383599</v>
      </c>
      <c r="AJ43" s="9">
        <v>22.110432689050299</v>
      </c>
      <c r="AK43" s="9">
        <v>5.8417671503946762</v>
      </c>
      <c r="AL43" s="9">
        <v>3.268082526434624</v>
      </c>
    </row>
    <row r="44" spans="1:38" ht="15.75" customHeight="1" x14ac:dyDescent="0.3">
      <c r="A44" s="3" t="s">
        <v>340</v>
      </c>
      <c r="B44" s="8">
        <f>SUM(B2:B43)</f>
        <v>83.785206638987802</v>
      </c>
      <c r="C44" s="8">
        <f t="shared" ref="C44:AL44" si="0">SUM(C2:C43)</f>
        <v>147.01923947970272</v>
      </c>
      <c r="D44" s="8">
        <f t="shared" si="0"/>
        <v>115.9857991012509</v>
      </c>
      <c r="E44" s="8">
        <f t="shared" si="0"/>
        <v>26.262765472626828</v>
      </c>
      <c r="F44" s="8">
        <f t="shared" si="0"/>
        <v>97.057814567921184</v>
      </c>
      <c r="G44" s="8">
        <f t="shared" si="0"/>
        <v>70.504506547794122</v>
      </c>
      <c r="H44" s="8">
        <f t="shared" si="0"/>
        <v>12.724717701436131</v>
      </c>
      <c r="I44" s="8">
        <f t="shared" si="0"/>
        <v>211.0344136102396</v>
      </c>
      <c r="J44" s="8">
        <f t="shared" si="0"/>
        <v>73.028364298067544</v>
      </c>
      <c r="K44" s="8">
        <f t="shared" si="0"/>
        <v>0</v>
      </c>
      <c r="L44" s="8">
        <f t="shared" si="0"/>
        <v>18.838271131760838</v>
      </c>
      <c r="M44" s="8">
        <f t="shared" si="0"/>
        <v>1.3928460912102227</v>
      </c>
      <c r="N44" s="8">
        <f t="shared" si="0"/>
        <v>0</v>
      </c>
      <c r="O44" s="8">
        <f t="shared" si="0"/>
        <v>33.536797874336166</v>
      </c>
      <c r="P44" s="8">
        <f t="shared" si="0"/>
        <v>2.0930306284146858</v>
      </c>
      <c r="Q44" s="8">
        <f t="shared" si="0"/>
        <v>2.6224612097174176E-2</v>
      </c>
      <c r="R44" s="8">
        <f t="shared" si="0"/>
        <v>20.08703303677401</v>
      </c>
      <c r="S44" s="8">
        <f t="shared" si="0"/>
        <v>1.7074032299318398</v>
      </c>
      <c r="T44" s="8">
        <f t="shared" si="0"/>
        <v>1.2056423323337321E-2</v>
      </c>
      <c r="U44" s="8">
        <f t="shared" si="0"/>
        <v>20.527467922173908</v>
      </c>
      <c r="V44" s="8">
        <f t="shared" si="0"/>
        <v>1.6938473014982056</v>
      </c>
      <c r="W44" s="8">
        <f>SUM(W2:W43)</f>
        <v>0.03</v>
      </c>
      <c r="X44" s="8">
        <f t="shared" si="0"/>
        <v>22.539555596058943</v>
      </c>
      <c r="Y44" s="8">
        <f t="shared" si="0"/>
        <v>3.1393421027909643</v>
      </c>
      <c r="Z44" s="8">
        <f t="shared" si="0"/>
        <v>1.5206788803574611</v>
      </c>
      <c r="AA44" s="8">
        <f t="shared" si="0"/>
        <v>62.987220729635467</v>
      </c>
      <c r="AB44" s="8">
        <f t="shared" si="0"/>
        <v>6.4038229519178227</v>
      </c>
      <c r="AC44" s="8">
        <f t="shared" si="0"/>
        <v>2.599847755490643</v>
      </c>
      <c r="AD44" s="8">
        <f t="shared" si="0"/>
        <v>161.72238795450625</v>
      </c>
      <c r="AE44" s="8">
        <f t="shared" si="0"/>
        <v>12.520146769970246</v>
      </c>
      <c r="AF44" s="8">
        <f t="shared" si="0"/>
        <v>15.974510166567233</v>
      </c>
      <c r="AG44" s="8">
        <f t="shared" si="0"/>
        <v>173.17728501952121</v>
      </c>
      <c r="AH44" s="8">
        <f t="shared" si="0"/>
        <v>39.264024869691241</v>
      </c>
      <c r="AI44" s="8">
        <f t="shared" si="0"/>
        <v>16.476518417276854</v>
      </c>
      <c r="AJ44" s="8">
        <f t="shared" si="0"/>
        <v>78.955501195695689</v>
      </c>
      <c r="AK44" s="8">
        <f t="shared" si="0"/>
        <v>50.054434284153963</v>
      </c>
      <c r="AL44" s="8">
        <f t="shared" si="0"/>
        <v>1680.1999188784253</v>
      </c>
    </row>
    <row r="45" spans="1:38" ht="15.75" customHeight="1" x14ac:dyDescent="0.3">
      <c r="A45" s="7" t="s">
        <v>241</v>
      </c>
    </row>
  </sheetData>
  <phoneticPr fontId="3" type="noConversion"/>
  <conditionalFormatting sqref="A4">
    <cfRule type="duplicateValues" dxfId="11" priority="2"/>
  </conditionalFormatting>
  <conditionalFormatting sqref="A43:A44">
    <cfRule type="duplicateValues" dxfId="10" priority="1"/>
  </conditionalFormatting>
  <conditionalFormatting sqref="A3">
    <cfRule type="duplicateValues" dxfId="9" priority="17"/>
  </conditionalFormatting>
  <pageMargins left="0.7" right="0.7" top="0.75" bottom="0.75" header="0.3" footer="0.3"/>
  <pageSetup paperSize="9" orientation="portrait" horizontalDpi="300" verticalDpi="300" r:id="rId1"/>
  <ignoredErrors>
    <ignoredError sqref="Y37 M37:N37 K43:N43 W37 W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32.125" style="1" bestFit="1" customWidth="1"/>
    <col min="2" max="2" width="12" style="1" customWidth="1"/>
    <col min="3" max="3" width="9.25" style="1" customWidth="1"/>
    <col min="4" max="4" width="14.625" style="1" customWidth="1"/>
    <col min="5" max="5" width="6.75" style="1" customWidth="1"/>
    <col min="6" max="6" width="6.875" style="1" customWidth="1"/>
    <col min="7" max="7" width="12.75" style="1" bestFit="1" customWidth="1"/>
    <col min="8" max="8" width="11" style="1" bestFit="1" customWidth="1"/>
    <col min="9" max="9" width="15.625" style="1" customWidth="1"/>
    <col min="10" max="11" width="8.375" style="1" customWidth="1"/>
    <col min="12" max="16384" width="9" style="1"/>
  </cols>
  <sheetData>
    <row r="1" spans="1:220" s="5" customFormat="1" ht="15.75" customHeight="1" x14ac:dyDescent="0.3">
      <c r="A1" s="3" t="s">
        <v>67</v>
      </c>
      <c r="B1" s="3" t="s">
        <v>69</v>
      </c>
      <c r="C1" s="3" t="s">
        <v>70</v>
      </c>
      <c r="D1" s="3" t="s">
        <v>76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77</v>
      </c>
      <c r="K1" s="3" t="s">
        <v>78</v>
      </c>
      <c r="L1" s="3" t="s">
        <v>79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</row>
    <row r="2" spans="1:220" ht="15.75" customHeight="1" x14ac:dyDescent="0.3">
      <c r="A2" s="11" t="s">
        <v>399</v>
      </c>
      <c r="B2" s="17">
        <v>2.9822046183702593</v>
      </c>
      <c r="C2" s="9">
        <v>2.6141984387274033</v>
      </c>
      <c r="D2" s="9">
        <v>2.7430609240070845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2.27</v>
      </c>
      <c r="L2" s="9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</row>
    <row r="3" spans="1:220" ht="15.75" customHeight="1" x14ac:dyDescent="0.3">
      <c r="A3" s="3" t="s">
        <v>68</v>
      </c>
      <c r="B3" s="8">
        <f>SUM(B2:B2)</f>
        <v>2.9822046183702593</v>
      </c>
      <c r="C3" s="8">
        <f>SUM(C2:C2)</f>
        <v>2.6141984387274033</v>
      </c>
      <c r="D3" s="8">
        <f>SUM(D2:D2)</f>
        <v>2.7430609240070845</v>
      </c>
      <c r="E3" s="8">
        <f>SUM(E2:E2)</f>
        <v>0</v>
      </c>
      <c r="F3" s="8">
        <f t="shared" ref="F3:L3" si="0">SUM(F2:F2)</f>
        <v>0</v>
      </c>
      <c r="G3" s="8">
        <f t="shared" si="0"/>
        <v>0</v>
      </c>
      <c r="H3" s="8">
        <f t="shared" si="0"/>
        <v>0</v>
      </c>
      <c r="I3" s="8">
        <f t="shared" si="0"/>
        <v>0</v>
      </c>
      <c r="J3" s="8">
        <f t="shared" si="0"/>
        <v>0</v>
      </c>
      <c r="K3" s="8">
        <f t="shared" si="0"/>
        <v>2.27</v>
      </c>
      <c r="L3" s="8">
        <f t="shared" si="0"/>
        <v>0</v>
      </c>
    </row>
    <row r="4" spans="1:220" ht="15.75" customHeight="1" x14ac:dyDescent="0.3">
      <c r="A4" s="7" t="s">
        <v>241</v>
      </c>
    </row>
  </sheetData>
  <phoneticPr fontId="3" type="noConversion"/>
  <conditionalFormatting sqref="A3:A4">
    <cfRule type="duplicateValues" dxfId="8" priority="1"/>
  </conditionalFormatting>
  <conditionalFormatting sqref="A2">
    <cfRule type="duplicateValues" dxfId="7" priority="1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8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77.75" style="22" customWidth="1"/>
    <col min="2" max="2" width="15" style="22" bestFit="1" customWidth="1"/>
    <col min="3" max="3" width="13.25" style="22" bestFit="1" customWidth="1"/>
    <col min="4" max="4" width="13.25" style="18" bestFit="1" customWidth="1"/>
    <col min="5" max="5" width="14.375" style="18" bestFit="1" customWidth="1"/>
    <col min="6" max="7" width="14.25" style="18" bestFit="1" customWidth="1"/>
    <col min="8" max="8" width="14.5" style="18" bestFit="1" customWidth="1"/>
    <col min="9" max="11" width="10.375" style="18" bestFit="1" customWidth="1"/>
    <col min="12" max="12" width="12" style="18" bestFit="1" customWidth="1"/>
    <col min="13" max="13" width="10.375" style="18" bestFit="1" customWidth="1"/>
    <col min="14" max="14" width="13.375" style="18" bestFit="1" customWidth="1"/>
    <col min="15" max="16" width="13.25" style="18" bestFit="1" customWidth="1"/>
    <col min="17" max="17" width="8.75" style="18" bestFit="1" customWidth="1"/>
    <col min="18" max="18" width="13.25" style="18" bestFit="1" customWidth="1"/>
    <col min="19" max="19" width="15" style="18" bestFit="1" customWidth="1"/>
    <col min="20" max="20" width="10.375" style="18" bestFit="1" customWidth="1"/>
    <col min="21" max="21" width="12" style="18" bestFit="1" customWidth="1"/>
    <col min="22" max="22" width="13.625" style="18" bestFit="1" customWidth="1"/>
    <col min="23" max="23" width="19.25" style="18" bestFit="1" customWidth="1"/>
    <col min="24" max="24" width="17.5" style="18" bestFit="1" customWidth="1"/>
    <col min="25" max="25" width="8.75" style="18" bestFit="1" customWidth="1"/>
    <col min="26" max="26" width="10.375" style="18" bestFit="1" customWidth="1"/>
    <col min="27" max="27" width="12" style="18" bestFit="1" customWidth="1"/>
    <col min="28" max="28" width="8.75" style="18" bestFit="1" customWidth="1"/>
    <col min="29" max="29" width="15.375" style="18" bestFit="1" customWidth="1"/>
    <col min="30" max="30" width="13.625" style="18" bestFit="1" customWidth="1"/>
    <col min="31" max="31" width="15.375" style="18" bestFit="1" customWidth="1"/>
    <col min="32" max="33" width="13.625" style="18" bestFit="1" customWidth="1"/>
    <col min="34" max="34" width="10.375" style="18" bestFit="1" customWidth="1"/>
    <col min="35" max="36" width="8.75" style="18" bestFit="1" customWidth="1"/>
    <col min="37" max="38" width="13.25" style="18" bestFit="1" customWidth="1"/>
    <col min="39" max="39" width="17.125" style="18" bestFit="1" customWidth="1"/>
    <col min="40" max="40" width="13.25" style="18" bestFit="1" customWidth="1"/>
    <col min="41" max="41" width="8.75" style="18" bestFit="1" customWidth="1"/>
    <col min="42" max="42" width="10.375" style="18" bestFit="1" customWidth="1"/>
    <col min="43" max="43" width="8.75" style="18" bestFit="1" customWidth="1"/>
    <col min="44" max="44" width="12" style="18" bestFit="1" customWidth="1"/>
    <col min="45" max="48" width="11.625" style="18" bestFit="1" customWidth="1"/>
    <col min="49" max="49" width="13.25" style="18" bestFit="1" customWidth="1"/>
    <col min="50" max="50" width="15" style="18" bestFit="1" customWidth="1"/>
    <col min="51" max="51" width="13.25" style="18" bestFit="1" customWidth="1"/>
    <col min="52" max="52" width="15.375" style="18" bestFit="1" customWidth="1"/>
    <col min="53" max="53" width="16.5" style="18" bestFit="1" customWidth="1"/>
    <col min="54" max="54" width="13.25" style="18" bestFit="1" customWidth="1"/>
    <col min="55" max="55" width="16.75" style="18" bestFit="1" customWidth="1"/>
    <col min="56" max="57" width="15.375" style="18" bestFit="1" customWidth="1"/>
    <col min="58" max="58" width="10.375" style="18" bestFit="1" customWidth="1"/>
    <col min="59" max="59" width="12" style="18" bestFit="1" customWidth="1"/>
    <col min="60" max="60" width="13.625" style="18" bestFit="1" customWidth="1"/>
    <col min="61" max="62" width="10.375" style="18" bestFit="1" customWidth="1"/>
    <col min="63" max="63" width="14.375" style="18" bestFit="1" customWidth="1"/>
    <col min="64" max="64" width="14.25" style="18" bestFit="1" customWidth="1"/>
    <col min="65" max="65" width="16.125" style="18" bestFit="1" customWidth="1"/>
    <col min="66" max="66" width="16.375" style="18" bestFit="1" customWidth="1"/>
    <col min="67" max="67" width="7.5" style="18" bestFit="1" customWidth="1"/>
    <col min="68" max="69" width="16.75" style="18" bestFit="1" customWidth="1"/>
    <col min="70" max="70" width="18.625" style="18" bestFit="1" customWidth="1"/>
    <col min="71" max="72" width="15" style="18" bestFit="1" customWidth="1"/>
    <col min="73" max="73" width="16.75" style="18" bestFit="1" customWidth="1"/>
    <col min="74" max="74" width="15.375" style="18" bestFit="1" customWidth="1"/>
    <col min="75" max="76" width="8.75" style="18" bestFit="1" customWidth="1"/>
    <col min="77" max="77" width="10.375" style="18" bestFit="1" customWidth="1"/>
    <col min="78" max="78" width="13.625" style="18" bestFit="1" customWidth="1"/>
    <col min="79" max="79" width="17.125" style="18" bestFit="1" customWidth="1"/>
    <col min="80" max="80" width="12" style="18" bestFit="1" customWidth="1"/>
    <col min="81" max="16384" width="9" style="22"/>
  </cols>
  <sheetData>
    <row r="1" spans="1:255" s="18" customFormat="1" ht="27" x14ac:dyDescent="0.3">
      <c r="A1" s="41" t="s">
        <v>557</v>
      </c>
      <c r="B1" s="24" t="s">
        <v>325</v>
      </c>
      <c r="C1" s="24" t="s">
        <v>326</v>
      </c>
      <c r="D1" s="24" t="s">
        <v>324</v>
      </c>
      <c r="E1" s="3" t="s">
        <v>243</v>
      </c>
      <c r="F1" s="3" t="s">
        <v>244</v>
      </c>
      <c r="G1" s="3" t="s">
        <v>245</v>
      </c>
      <c r="H1" s="3" t="s">
        <v>246</v>
      </c>
      <c r="I1" s="3" t="s">
        <v>247</v>
      </c>
      <c r="J1" s="3" t="s">
        <v>248</v>
      </c>
      <c r="K1" s="3" t="s">
        <v>249</v>
      </c>
      <c r="L1" s="3" t="s">
        <v>250</v>
      </c>
      <c r="M1" s="3" t="s">
        <v>251</v>
      </c>
      <c r="N1" s="24" t="s">
        <v>306</v>
      </c>
      <c r="O1" s="24" t="s">
        <v>307</v>
      </c>
      <c r="P1" s="24" t="s">
        <v>308</v>
      </c>
      <c r="Q1" s="3" t="s">
        <v>252</v>
      </c>
      <c r="R1" s="24" t="s">
        <v>309</v>
      </c>
      <c r="S1" s="24" t="s">
        <v>310</v>
      </c>
      <c r="T1" s="3" t="s">
        <v>253</v>
      </c>
      <c r="U1" s="3" t="s">
        <v>254</v>
      </c>
      <c r="V1" s="3" t="s">
        <v>255</v>
      </c>
      <c r="W1" s="3" t="s">
        <v>256</v>
      </c>
      <c r="X1" s="3" t="s">
        <v>257</v>
      </c>
      <c r="Y1" s="3" t="s">
        <v>258</v>
      </c>
      <c r="Z1" s="3" t="s">
        <v>259</v>
      </c>
      <c r="AA1" s="3" t="s">
        <v>260</v>
      </c>
      <c r="AB1" s="3" t="s">
        <v>261</v>
      </c>
      <c r="AC1" s="26" t="s">
        <v>314</v>
      </c>
      <c r="AD1" s="26" t="s">
        <v>315</v>
      </c>
      <c r="AE1" s="26" t="s">
        <v>311</v>
      </c>
      <c r="AF1" s="26" t="s">
        <v>312</v>
      </c>
      <c r="AG1" s="26" t="s">
        <v>313</v>
      </c>
      <c r="AH1" s="3" t="s">
        <v>262</v>
      </c>
      <c r="AI1" s="3" t="s">
        <v>263</v>
      </c>
      <c r="AJ1" s="3" t="s">
        <v>264</v>
      </c>
      <c r="AK1" s="3" t="s">
        <v>265</v>
      </c>
      <c r="AL1" s="3" t="s">
        <v>266</v>
      </c>
      <c r="AM1" s="3" t="s">
        <v>267</v>
      </c>
      <c r="AN1" s="3" t="s">
        <v>268</v>
      </c>
      <c r="AO1" s="3" t="s">
        <v>269</v>
      </c>
      <c r="AP1" s="3" t="s">
        <v>270</v>
      </c>
      <c r="AQ1" s="3" t="s">
        <v>271</v>
      </c>
      <c r="AR1" s="3" t="s">
        <v>272</v>
      </c>
      <c r="AS1" s="3" t="s">
        <v>273</v>
      </c>
      <c r="AT1" s="3" t="s">
        <v>274</v>
      </c>
      <c r="AU1" s="3" t="s">
        <v>275</v>
      </c>
      <c r="AV1" s="3" t="s">
        <v>276</v>
      </c>
      <c r="AW1" s="3" t="s">
        <v>277</v>
      </c>
      <c r="AX1" s="3" t="s">
        <v>278</v>
      </c>
      <c r="AY1" s="3" t="s">
        <v>279</v>
      </c>
      <c r="AZ1" s="26" t="s">
        <v>319</v>
      </c>
      <c r="BA1" s="26" t="s">
        <v>318</v>
      </c>
      <c r="BB1" s="3" t="s">
        <v>280</v>
      </c>
      <c r="BC1" s="3" t="s">
        <v>281</v>
      </c>
      <c r="BD1" s="26" t="s">
        <v>317</v>
      </c>
      <c r="BE1" s="26" t="s">
        <v>316</v>
      </c>
      <c r="BF1" s="3" t="s">
        <v>282</v>
      </c>
      <c r="BG1" s="3" t="s">
        <v>283</v>
      </c>
      <c r="BH1" s="3" t="s">
        <v>284</v>
      </c>
      <c r="BI1" s="3" t="s">
        <v>285</v>
      </c>
      <c r="BJ1" s="3" t="s">
        <v>286</v>
      </c>
      <c r="BK1" s="24" t="s">
        <v>320</v>
      </c>
      <c r="BL1" s="24" t="s">
        <v>321</v>
      </c>
      <c r="BM1" s="24" t="s">
        <v>322</v>
      </c>
      <c r="BN1" s="24" t="s">
        <v>323</v>
      </c>
      <c r="BO1" s="3" t="s">
        <v>287</v>
      </c>
      <c r="BP1" s="3" t="s">
        <v>288</v>
      </c>
      <c r="BQ1" s="3" t="s">
        <v>289</v>
      </c>
      <c r="BR1" s="3" t="s">
        <v>290</v>
      </c>
      <c r="BS1" s="3" t="s">
        <v>291</v>
      </c>
      <c r="BT1" s="3" t="s">
        <v>292</v>
      </c>
      <c r="BU1" s="3" t="s">
        <v>293</v>
      </c>
      <c r="BV1" s="3" t="s">
        <v>294</v>
      </c>
      <c r="BW1" s="3" t="s">
        <v>295</v>
      </c>
      <c r="BX1" s="3" t="s">
        <v>296</v>
      </c>
      <c r="BY1" s="3" t="s">
        <v>297</v>
      </c>
      <c r="BZ1" s="3" t="s">
        <v>298</v>
      </c>
      <c r="CA1" s="3" t="s">
        <v>299</v>
      </c>
      <c r="CB1" s="3" t="s">
        <v>242</v>
      </c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</row>
    <row r="2" spans="1:255" ht="15.75" customHeight="1" x14ac:dyDescent="0.3">
      <c r="A2" s="30" t="s">
        <v>400</v>
      </c>
      <c r="B2" s="27">
        <v>0</v>
      </c>
      <c r="C2" s="27">
        <v>0</v>
      </c>
      <c r="D2" s="25">
        <v>0</v>
      </c>
      <c r="E2" s="25">
        <v>2.0408478415019458</v>
      </c>
      <c r="F2" s="25">
        <v>0.98910781134156645</v>
      </c>
      <c r="G2" s="25">
        <v>11.712225786118013</v>
      </c>
      <c r="H2" s="25">
        <v>2.2642234839447632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  <c r="AK2" s="25">
        <v>0</v>
      </c>
      <c r="AL2" s="25">
        <v>0</v>
      </c>
      <c r="AM2" s="25">
        <v>0</v>
      </c>
      <c r="AN2" s="25">
        <v>0</v>
      </c>
      <c r="AO2" s="25">
        <v>0</v>
      </c>
      <c r="AP2" s="25">
        <v>0</v>
      </c>
      <c r="AQ2" s="25">
        <v>0</v>
      </c>
      <c r="AR2" s="25">
        <v>0</v>
      </c>
      <c r="AS2" s="25">
        <v>0</v>
      </c>
      <c r="AT2" s="25">
        <v>0</v>
      </c>
      <c r="AU2" s="25">
        <v>0</v>
      </c>
      <c r="AV2" s="25">
        <v>0</v>
      </c>
      <c r="AW2" s="25">
        <v>0</v>
      </c>
      <c r="AX2" s="25">
        <v>0</v>
      </c>
      <c r="AY2" s="25">
        <v>0</v>
      </c>
      <c r="AZ2" s="25">
        <v>0</v>
      </c>
      <c r="BA2" s="25">
        <v>0</v>
      </c>
      <c r="BB2" s="25">
        <v>0</v>
      </c>
      <c r="BC2" s="25">
        <v>0</v>
      </c>
      <c r="BD2" s="25">
        <v>0</v>
      </c>
      <c r="BE2" s="25">
        <v>0</v>
      </c>
      <c r="BF2" s="25">
        <v>0</v>
      </c>
      <c r="BG2" s="25">
        <v>0</v>
      </c>
      <c r="BH2" s="25">
        <v>0</v>
      </c>
      <c r="BI2" s="25">
        <v>0</v>
      </c>
      <c r="BJ2" s="25">
        <v>0</v>
      </c>
      <c r="BK2" s="25">
        <v>0</v>
      </c>
      <c r="BL2" s="25">
        <v>0</v>
      </c>
      <c r="BM2" s="25">
        <v>0</v>
      </c>
      <c r="BN2" s="25">
        <v>0</v>
      </c>
      <c r="BO2" s="25">
        <v>0</v>
      </c>
      <c r="BP2" s="25">
        <v>0</v>
      </c>
      <c r="BQ2" s="25">
        <v>0</v>
      </c>
      <c r="BR2" s="25">
        <v>0</v>
      </c>
      <c r="BS2" s="25">
        <v>0</v>
      </c>
      <c r="BT2" s="25">
        <v>0</v>
      </c>
      <c r="BU2" s="25">
        <v>0</v>
      </c>
      <c r="BV2" s="25">
        <v>0</v>
      </c>
      <c r="BW2" s="25">
        <v>0</v>
      </c>
      <c r="BX2" s="25">
        <v>0</v>
      </c>
      <c r="BY2" s="25">
        <v>0</v>
      </c>
      <c r="BZ2" s="25">
        <v>0</v>
      </c>
      <c r="CA2" s="25">
        <v>0</v>
      </c>
      <c r="CB2" s="25">
        <v>0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</row>
    <row r="3" spans="1:255" ht="15.75" customHeight="1" x14ac:dyDescent="0.3">
      <c r="A3" s="30" t="s">
        <v>333</v>
      </c>
      <c r="B3" s="27">
        <v>0</v>
      </c>
      <c r="C3" s="27">
        <v>0</v>
      </c>
      <c r="D3" s="25">
        <v>0</v>
      </c>
      <c r="E3" s="25">
        <v>78.593476850571847</v>
      </c>
      <c r="F3" s="25">
        <v>35.681776581951937</v>
      </c>
      <c r="G3" s="25">
        <v>729.03879331780536</v>
      </c>
      <c r="H3" s="25">
        <v>152.48173498021677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>
        <v>0</v>
      </c>
      <c r="AZ3" s="25">
        <v>0</v>
      </c>
      <c r="BA3" s="25">
        <v>0</v>
      </c>
      <c r="BB3" s="25">
        <v>0</v>
      </c>
      <c r="BC3" s="25">
        <v>0</v>
      </c>
      <c r="BD3" s="25">
        <v>0</v>
      </c>
      <c r="BE3" s="25">
        <v>0</v>
      </c>
      <c r="BF3" s="25">
        <v>0</v>
      </c>
      <c r="BG3" s="25">
        <v>0</v>
      </c>
      <c r="BH3" s="25">
        <v>0</v>
      </c>
      <c r="BI3" s="25">
        <v>0</v>
      </c>
      <c r="BJ3" s="25">
        <v>0</v>
      </c>
      <c r="BK3" s="25">
        <v>0</v>
      </c>
      <c r="BL3" s="25">
        <v>0</v>
      </c>
      <c r="BM3" s="25">
        <v>0</v>
      </c>
      <c r="BN3" s="25">
        <v>0</v>
      </c>
      <c r="BO3" s="25">
        <v>0</v>
      </c>
      <c r="BP3" s="25">
        <v>0</v>
      </c>
      <c r="BQ3" s="25">
        <v>0</v>
      </c>
      <c r="BR3" s="25">
        <v>0</v>
      </c>
      <c r="BS3" s="25">
        <v>0</v>
      </c>
      <c r="BT3" s="25">
        <v>0</v>
      </c>
      <c r="BU3" s="25">
        <v>0</v>
      </c>
      <c r="BV3" s="25">
        <v>0</v>
      </c>
      <c r="BW3" s="25">
        <v>0</v>
      </c>
      <c r="BX3" s="25">
        <v>0</v>
      </c>
      <c r="BY3" s="25">
        <v>0</v>
      </c>
      <c r="BZ3" s="25">
        <v>0</v>
      </c>
      <c r="CA3" s="25">
        <v>0</v>
      </c>
      <c r="CB3" s="25">
        <v>0</v>
      </c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</row>
    <row r="4" spans="1:255" ht="15.75" customHeight="1" x14ac:dyDescent="0.3">
      <c r="A4" s="30" t="s">
        <v>401</v>
      </c>
      <c r="B4" s="27">
        <v>0</v>
      </c>
      <c r="C4" s="27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18.568896195464571</v>
      </c>
      <c r="O4" s="25">
        <v>29.784773458375081</v>
      </c>
      <c r="P4" s="25">
        <v>6.4053567857121898</v>
      </c>
      <c r="Q4" s="25">
        <v>10.022445898401916</v>
      </c>
      <c r="R4" s="25">
        <v>8.0640819128410595</v>
      </c>
      <c r="S4" s="25">
        <v>6.8775975461042052</v>
      </c>
      <c r="T4" s="25">
        <v>36.324850842267729</v>
      </c>
      <c r="U4" s="25">
        <v>3.4323340091827776</v>
      </c>
      <c r="V4" s="25">
        <v>112.6939852987578</v>
      </c>
      <c r="W4" s="25">
        <v>59.385442050460064</v>
      </c>
      <c r="X4" s="25">
        <v>5.9352910281742721</v>
      </c>
      <c r="Y4" s="25">
        <v>0</v>
      </c>
      <c r="Z4" s="25">
        <v>34.028918156805396</v>
      </c>
      <c r="AA4" s="25">
        <v>7.0202254917503568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>
        <v>0</v>
      </c>
      <c r="AZ4" s="25">
        <v>0</v>
      </c>
      <c r="BA4" s="25">
        <v>0</v>
      </c>
      <c r="BB4" s="25">
        <v>0</v>
      </c>
      <c r="BC4" s="25">
        <v>0</v>
      </c>
      <c r="BD4" s="25">
        <v>0</v>
      </c>
      <c r="BE4" s="25">
        <v>0</v>
      </c>
      <c r="BF4" s="25">
        <v>0</v>
      </c>
      <c r="BG4" s="25">
        <v>0</v>
      </c>
      <c r="BH4" s="25">
        <v>0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5">
        <v>0</v>
      </c>
      <c r="BP4" s="25">
        <v>0</v>
      </c>
      <c r="BQ4" s="25">
        <v>0</v>
      </c>
      <c r="BR4" s="25">
        <v>0</v>
      </c>
      <c r="BS4" s="25">
        <v>0</v>
      </c>
      <c r="BT4" s="25">
        <v>0</v>
      </c>
      <c r="BU4" s="25">
        <v>0</v>
      </c>
      <c r="BV4" s="25">
        <v>0</v>
      </c>
      <c r="BW4" s="25">
        <v>0</v>
      </c>
      <c r="BX4" s="25">
        <v>0</v>
      </c>
      <c r="BY4" s="25">
        <v>0</v>
      </c>
      <c r="BZ4" s="25">
        <v>0</v>
      </c>
      <c r="CA4" s="25">
        <v>0</v>
      </c>
      <c r="CB4" s="25">
        <v>0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</row>
    <row r="5" spans="1:255" ht="15.75" customHeight="1" x14ac:dyDescent="0.3">
      <c r="A5" s="30" t="s">
        <v>402</v>
      </c>
      <c r="B5" s="27">
        <v>0</v>
      </c>
      <c r="C5" s="27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10.475496757525312</v>
      </c>
      <c r="S5" s="25">
        <v>9.6693979396266787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  <c r="AZ5" s="25">
        <v>0</v>
      </c>
      <c r="BA5" s="25">
        <v>0</v>
      </c>
      <c r="BB5" s="25">
        <v>0</v>
      </c>
      <c r="BC5" s="25">
        <v>0</v>
      </c>
      <c r="BD5" s="25">
        <v>0</v>
      </c>
      <c r="BE5" s="25">
        <v>0</v>
      </c>
      <c r="BF5" s="25">
        <v>0</v>
      </c>
      <c r="BG5" s="25">
        <v>0</v>
      </c>
      <c r="BH5" s="25">
        <v>0</v>
      </c>
      <c r="BI5" s="25">
        <v>0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0</v>
      </c>
      <c r="BS5" s="25">
        <v>0</v>
      </c>
      <c r="BT5" s="25">
        <v>0</v>
      </c>
      <c r="BU5" s="25">
        <v>0</v>
      </c>
      <c r="BV5" s="25">
        <v>0</v>
      </c>
      <c r="BW5" s="25">
        <v>0</v>
      </c>
      <c r="BX5" s="25">
        <v>0</v>
      </c>
      <c r="BY5" s="25">
        <v>0</v>
      </c>
      <c r="BZ5" s="25">
        <v>0</v>
      </c>
      <c r="CA5" s="25">
        <v>0</v>
      </c>
      <c r="CB5" s="25">
        <v>0</v>
      </c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</row>
    <row r="6" spans="1:255" ht="15.75" customHeight="1" x14ac:dyDescent="0.3">
      <c r="A6" s="30" t="s">
        <v>403</v>
      </c>
      <c r="B6" s="27">
        <v>0</v>
      </c>
      <c r="C6" s="27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8.3225487615490437</v>
      </c>
      <c r="O6" s="25">
        <v>13.164995827496556</v>
      </c>
      <c r="P6" s="25">
        <v>7.4248434171126227</v>
      </c>
      <c r="Q6" s="25">
        <v>10.799370540767123</v>
      </c>
      <c r="R6" s="25">
        <v>9.8779622180851447</v>
      </c>
      <c r="S6" s="25">
        <v>7.8539017997658602</v>
      </c>
      <c r="T6" s="25">
        <v>15.276146387522353</v>
      </c>
      <c r="U6" s="25">
        <v>0</v>
      </c>
      <c r="V6" s="25">
        <v>12.267955464894849</v>
      </c>
      <c r="W6" s="25">
        <v>16.813584509933495</v>
      </c>
      <c r="X6" s="25">
        <v>0.88849500493466549</v>
      </c>
      <c r="Y6" s="25">
        <v>0</v>
      </c>
      <c r="Z6" s="25">
        <v>12.558767573883301</v>
      </c>
      <c r="AA6" s="25">
        <v>1.4785371122532822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0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>
        <v>0</v>
      </c>
      <c r="AZ6" s="25">
        <v>0</v>
      </c>
      <c r="BA6" s="25">
        <v>0</v>
      </c>
      <c r="BB6" s="25">
        <v>0</v>
      </c>
      <c r="BC6" s="25">
        <v>0</v>
      </c>
      <c r="BD6" s="25">
        <v>0</v>
      </c>
      <c r="BE6" s="25">
        <v>0</v>
      </c>
      <c r="BF6" s="25">
        <v>0</v>
      </c>
      <c r="BG6" s="25">
        <v>0</v>
      </c>
      <c r="BH6" s="25">
        <v>0</v>
      </c>
      <c r="BI6" s="25">
        <v>0</v>
      </c>
      <c r="BJ6" s="25">
        <v>0</v>
      </c>
      <c r="BK6" s="25">
        <v>0</v>
      </c>
      <c r="BL6" s="25">
        <v>0</v>
      </c>
      <c r="BM6" s="25">
        <v>0</v>
      </c>
      <c r="BN6" s="25">
        <v>0</v>
      </c>
      <c r="BO6" s="25">
        <v>0</v>
      </c>
      <c r="BP6" s="25">
        <v>0</v>
      </c>
      <c r="BQ6" s="25">
        <v>0</v>
      </c>
      <c r="BR6" s="25">
        <v>0</v>
      </c>
      <c r="BS6" s="25">
        <v>0</v>
      </c>
      <c r="BT6" s="25">
        <v>0</v>
      </c>
      <c r="BU6" s="25">
        <v>0</v>
      </c>
      <c r="BV6" s="25">
        <v>0</v>
      </c>
      <c r="BW6" s="25">
        <v>0</v>
      </c>
      <c r="BX6" s="25">
        <v>0</v>
      </c>
      <c r="BY6" s="25">
        <v>0</v>
      </c>
      <c r="BZ6" s="25">
        <v>0</v>
      </c>
      <c r="CA6" s="25">
        <v>0</v>
      </c>
      <c r="CB6" s="25">
        <v>0</v>
      </c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</row>
    <row r="7" spans="1:255" ht="15.75" customHeight="1" x14ac:dyDescent="0.3">
      <c r="A7" s="30" t="s">
        <v>404</v>
      </c>
      <c r="B7" s="27">
        <v>0</v>
      </c>
      <c r="C7" s="27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18.675298213574479</v>
      </c>
      <c r="O7" s="25">
        <v>68.680169230644708</v>
      </c>
      <c r="P7" s="25">
        <v>22.367266326301024</v>
      </c>
      <c r="Q7" s="25">
        <v>25.295700454065159</v>
      </c>
      <c r="R7" s="25">
        <v>21.122707697865618</v>
      </c>
      <c r="S7" s="25">
        <v>29.91348179481713</v>
      </c>
      <c r="T7" s="25">
        <v>21.2203922648104</v>
      </c>
      <c r="U7" s="25">
        <v>0</v>
      </c>
      <c r="V7" s="25">
        <v>204.07155382494764</v>
      </c>
      <c r="W7" s="25">
        <v>68.984459085347495</v>
      </c>
      <c r="X7" s="25">
        <v>4.7564788209665556</v>
      </c>
      <c r="Y7" s="25">
        <v>100.69502006824173</v>
      </c>
      <c r="Z7" s="25">
        <v>160.79455657011297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v>0</v>
      </c>
      <c r="BY7" s="25">
        <v>0</v>
      </c>
      <c r="BZ7" s="25">
        <v>0</v>
      </c>
      <c r="CA7" s="25">
        <v>0</v>
      </c>
      <c r="CB7" s="25">
        <v>0</v>
      </c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</row>
    <row r="8" spans="1:255" ht="15.75" customHeight="1" x14ac:dyDescent="0.3">
      <c r="A8" s="30" t="s">
        <v>405</v>
      </c>
      <c r="B8" s="27">
        <v>0</v>
      </c>
      <c r="C8" s="27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608.1117058990809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v>0</v>
      </c>
      <c r="BY8" s="25">
        <v>0</v>
      </c>
      <c r="BZ8" s="25">
        <v>0</v>
      </c>
      <c r="CA8" s="25">
        <v>0</v>
      </c>
      <c r="CB8" s="25">
        <v>0</v>
      </c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</row>
    <row r="9" spans="1:255" ht="15.75" customHeight="1" x14ac:dyDescent="0.3">
      <c r="A9" s="30" t="s">
        <v>406</v>
      </c>
      <c r="B9" s="27">
        <v>0</v>
      </c>
      <c r="C9" s="27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14.707733097131488</v>
      </c>
      <c r="BR9" s="25">
        <v>231.19460516007987</v>
      </c>
      <c r="BS9" s="25">
        <v>0</v>
      </c>
      <c r="BT9" s="25">
        <v>0</v>
      </c>
      <c r="BU9" s="25">
        <v>2.8877936100205974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</row>
    <row r="10" spans="1:255" ht="15.75" customHeight="1" x14ac:dyDescent="0.3">
      <c r="A10" s="30" t="s">
        <v>407</v>
      </c>
      <c r="B10" s="27">
        <v>0</v>
      </c>
      <c r="C10" s="27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5.4401554856589192</v>
      </c>
      <c r="BQ10" s="25">
        <v>38.561036530900303</v>
      </c>
      <c r="BR10" s="25">
        <v>10.492462226148577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</row>
    <row r="11" spans="1:255" ht="15.75" customHeight="1" x14ac:dyDescent="0.3">
      <c r="A11" s="30" t="s">
        <v>408</v>
      </c>
      <c r="B11" s="27">
        <v>0</v>
      </c>
      <c r="C11" s="27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10.487067282082643</v>
      </c>
      <c r="J11" s="25">
        <v>2.4068423594206001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16.205807150633053</v>
      </c>
      <c r="BP11" s="25">
        <v>612.21810645322012</v>
      </c>
      <c r="BQ11" s="25">
        <v>365.83949672357795</v>
      </c>
      <c r="BR11" s="25">
        <v>17.106116779166566</v>
      </c>
      <c r="BS11" s="25">
        <v>5.4408516297622427</v>
      </c>
      <c r="BT11" s="25">
        <v>2.2351555295268377</v>
      </c>
      <c r="BU11" s="25">
        <v>0</v>
      </c>
      <c r="BV11" s="25">
        <v>0</v>
      </c>
      <c r="BW11" s="25">
        <v>71.182147514037482</v>
      </c>
      <c r="BX11" s="25">
        <v>36.693859820943523</v>
      </c>
      <c r="BY11" s="25">
        <v>0</v>
      </c>
      <c r="BZ11" s="25">
        <v>0</v>
      </c>
      <c r="CA11" s="25">
        <v>0</v>
      </c>
      <c r="CB11" s="25">
        <v>0</v>
      </c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</row>
    <row r="12" spans="1:255" ht="15.75" customHeight="1" x14ac:dyDescent="0.3">
      <c r="A12" s="30" t="s">
        <v>334</v>
      </c>
      <c r="B12" s="27">
        <v>0</v>
      </c>
      <c r="C12" s="27">
        <v>0</v>
      </c>
      <c r="D12" s="25">
        <v>0</v>
      </c>
      <c r="E12" s="25">
        <v>1.3623196330966081</v>
      </c>
      <c r="F12" s="25">
        <v>0.9886583947949843</v>
      </c>
      <c r="G12" s="25">
        <v>13.682919905423764</v>
      </c>
      <c r="H12" s="25">
        <v>2.1155800790532791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  <c r="CA12" s="25">
        <v>0</v>
      </c>
      <c r="CB12" s="25">
        <v>0</v>
      </c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</row>
    <row r="13" spans="1:255" ht="15.75" customHeight="1" x14ac:dyDescent="0.3">
      <c r="A13" s="30" t="s">
        <v>335</v>
      </c>
      <c r="B13" s="27">
        <v>0</v>
      </c>
      <c r="C13" s="27">
        <v>0</v>
      </c>
      <c r="D13" s="25">
        <v>0</v>
      </c>
      <c r="E13" s="25">
        <v>251.92356406508364</v>
      </c>
      <c r="F13" s="25">
        <v>111.52928483802629</v>
      </c>
      <c r="G13" s="25">
        <v>1086.1839317606382</v>
      </c>
      <c r="H13" s="25">
        <v>429.48431034009286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</row>
    <row r="14" spans="1:255" ht="15.75" customHeight="1" x14ac:dyDescent="0.3">
      <c r="A14" s="30" t="s">
        <v>336</v>
      </c>
      <c r="B14" s="27">
        <v>0</v>
      </c>
      <c r="C14" s="27">
        <v>0</v>
      </c>
      <c r="D14" s="25">
        <v>0</v>
      </c>
      <c r="E14" s="25">
        <v>0</v>
      </c>
      <c r="F14" s="25">
        <v>0</v>
      </c>
      <c r="G14" s="25">
        <v>16.473271990719578</v>
      </c>
      <c r="H14" s="25">
        <v>4.9768609812091817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  <c r="CA14" s="25">
        <v>0</v>
      </c>
      <c r="CB14" s="25">
        <v>0</v>
      </c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</row>
    <row r="15" spans="1:255" ht="15.75" customHeight="1" x14ac:dyDescent="0.3">
      <c r="A15" s="30" t="s">
        <v>337</v>
      </c>
      <c r="B15" s="27">
        <v>0</v>
      </c>
      <c r="C15" s="27">
        <v>0</v>
      </c>
      <c r="D15" s="25">
        <v>0</v>
      </c>
      <c r="E15" s="25">
        <v>4.8008437739600396</v>
      </c>
      <c r="F15" s="25">
        <v>20.114233661890605</v>
      </c>
      <c r="G15" s="25">
        <v>614.10066772541688</v>
      </c>
      <c r="H15" s="25">
        <v>144.27433087894394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0</v>
      </c>
      <c r="CB15" s="25">
        <v>0</v>
      </c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</row>
    <row r="16" spans="1:255" ht="15.75" customHeight="1" x14ac:dyDescent="0.3">
      <c r="A16" s="30" t="s">
        <v>328</v>
      </c>
      <c r="B16" s="27">
        <v>0</v>
      </c>
      <c r="C16" s="27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83.211514295562111</v>
      </c>
      <c r="BL16" s="25">
        <v>96.09458494545099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  <c r="CA16" s="25">
        <v>0</v>
      </c>
      <c r="CB16" s="25">
        <v>0</v>
      </c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</row>
    <row r="17" spans="1:80" ht="15.75" customHeight="1" x14ac:dyDescent="0.3">
      <c r="A17" s="30" t="s">
        <v>345</v>
      </c>
      <c r="B17" s="27">
        <v>0</v>
      </c>
      <c r="C17" s="27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10.645818110819087</v>
      </c>
      <c r="BL17" s="25">
        <v>17.868176631835144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  <c r="CA17" s="25">
        <v>0</v>
      </c>
      <c r="CB17" s="25">
        <v>0</v>
      </c>
    </row>
    <row r="18" spans="1:80" ht="15.75" customHeight="1" x14ac:dyDescent="0.3">
      <c r="A18" s="30" t="s">
        <v>346</v>
      </c>
      <c r="B18" s="27">
        <v>0</v>
      </c>
      <c r="C18" s="27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18.124900540555068</v>
      </c>
      <c r="BL18" s="25">
        <v>56.294409674522321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</row>
    <row r="19" spans="1:80" ht="15.75" customHeight="1" x14ac:dyDescent="0.3">
      <c r="A19" s="30" t="s">
        <v>347</v>
      </c>
      <c r="B19" s="27">
        <v>0</v>
      </c>
      <c r="C19" s="27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3.960884007713886</v>
      </c>
      <c r="BL19" s="25">
        <v>8.6152215563259382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</row>
    <row r="20" spans="1:80" ht="15.75" customHeight="1" x14ac:dyDescent="0.3">
      <c r="A20" s="30" t="s">
        <v>338</v>
      </c>
      <c r="B20" s="27">
        <v>0</v>
      </c>
      <c r="C20" s="27">
        <v>0</v>
      </c>
      <c r="D20" s="25">
        <v>0</v>
      </c>
      <c r="E20" s="25">
        <v>0</v>
      </c>
      <c r="F20" s="25">
        <v>1.1317197134443115</v>
      </c>
      <c r="G20" s="25">
        <v>1.8706879840958637</v>
      </c>
      <c r="H20" s="25">
        <v>0.88053680271163248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</row>
    <row r="21" spans="1:80" ht="15.75" customHeight="1" x14ac:dyDescent="0.3">
      <c r="A21" s="30" t="s">
        <v>409</v>
      </c>
      <c r="B21" s="27">
        <v>0</v>
      </c>
      <c r="C21" s="27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1.4117367186702283</v>
      </c>
      <c r="U21" s="25">
        <v>0</v>
      </c>
      <c r="V21" s="25">
        <v>7.7344684244092781</v>
      </c>
      <c r="W21" s="25">
        <v>0</v>
      </c>
      <c r="X21" s="25">
        <v>0</v>
      </c>
      <c r="Y21" s="25">
        <v>10.157117557464124</v>
      </c>
      <c r="Z21" s="25">
        <v>5.7505762426603662</v>
      </c>
      <c r="AA21" s="25">
        <v>0</v>
      </c>
      <c r="AB21" s="25">
        <v>16.102992352280694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</row>
    <row r="22" spans="1:80" ht="15.75" customHeight="1" x14ac:dyDescent="0.3">
      <c r="A22" s="30" t="s">
        <v>410</v>
      </c>
      <c r="B22" s="27">
        <v>0</v>
      </c>
      <c r="C22" s="27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2.8677105126206661</v>
      </c>
      <c r="BQ22" s="25">
        <v>2.4101364662551656</v>
      </c>
      <c r="BR22" s="25">
        <v>6.4685397025699407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  <c r="CA22" s="25">
        <v>0</v>
      </c>
      <c r="CB22" s="25">
        <v>0</v>
      </c>
    </row>
    <row r="23" spans="1:80" ht="15.75" customHeight="1" x14ac:dyDescent="0.3">
      <c r="A23" s="30" t="s">
        <v>411</v>
      </c>
      <c r="B23" s="27">
        <v>0</v>
      </c>
      <c r="C23" s="27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2.5057541668137508</v>
      </c>
      <c r="BQ23" s="25">
        <v>1.1363514236463297</v>
      </c>
      <c r="BR23" s="25">
        <v>6.6799617409750667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  <c r="CA23" s="25">
        <v>0</v>
      </c>
      <c r="CB23" s="25">
        <v>0</v>
      </c>
    </row>
    <row r="24" spans="1:80" ht="15.75" customHeight="1" x14ac:dyDescent="0.3">
      <c r="A24" s="30" t="s">
        <v>412</v>
      </c>
      <c r="B24" s="27">
        <v>0</v>
      </c>
      <c r="C24" s="27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1.7991624185529698</v>
      </c>
      <c r="U24" s="25">
        <v>0</v>
      </c>
      <c r="V24" s="25">
        <v>0</v>
      </c>
      <c r="W24" s="25">
        <v>0</v>
      </c>
      <c r="X24" s="25">
        <v>0</v>
      </c>
      <c r="Y24" s="25">
        <v>40.420167982858608</v>
      </c>
      <c r="Z24" s="25">
        <v>26.96165304377962</v>
      </c>
      <c r="AA24" s="25">
        <v>0</v>
      </c>
      <c r="AB24" s="25">
        <v>53.865059308096448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34.86931843105355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  <c r="CB24" s="25">
        <v>0</v>
      </c>
    </row>
    <row r="25" spans="1:80" ht="15.75" customHeight="1" x14ac:dyDescent="0.3">
      <c r="A25" s="30" t="s">
        <v>556</v>
      </c>
      <c r="B25" s="27">
        <v>0</v>
      </c>
      <c r="C25" s="27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8.0923656072391665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</row>
    <row r="26" spans="1:80" ht="15.75" customHeight="1" x14ac:dyDescent="0.3">
      <c r="A26" s="30" t="s">
        <v>413</v>
      </c>
      <c r="B26" s="27">
        <v>0</v>
      </c>
      <c r="C26" s="27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9.4891795540328712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5.3121127679676778</v>
      </c>
      <c r="Z26" s="25">
        <v>18.821447021170815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  <c r="CA26" s="25">
        <v>0</v>
      </c>
      <c r="CB26" s="25">
        <v>0</v>
      </c>
    </row>
    <row r="27" spans="1:80" ht="15.75" customHeight="1" x14ac:dyDescent="0.3">
      <c r="A27" s="30" t="s">
        <v>414</v>
      </c>
      <c r="B27" s="27">
        <v>0</v>
      </c>
      <c r="C27" s="27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6.2696542974804954</v>
      </c>
      <c r="O27" s="25">
        <v>26.074805384176276</v>
      </c>
      <c r="P27" s="25">
        <v>32.5487421488235</v>
      </c>
      <c r="Q27" s="25">
        <v>25.075765106015606</v>
      </c>
      <c r="R27" s="25">
        <v>36.956965076977703</v>
      </c>
      <c r="S27" s="25">
        <v>45.226127816101382</v>
      </c>
      <c r="T27" s="25">
        <v>5.5162654218796492</v>
      </c>
      <c r="U27" s="25">
        <v>0</v>
      </c>
      <c r="V27" s="25">
        <v>16.716304831516261</v>
      </c>
      <c r="W27" s="25">
        <v>32.761697466771345</v>
      </c>
      <c r="X27" s="25">
        <v>1.6388165698795685</v>
      </c>
      <c r="Y27" s="25">
        <v>37.697476620848064</v>
      </c>
      <c r="Z27" s="25">
        <v>81.171506658658146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</row>
    <row r="28" spans="1:80" ht="15.75" customHeight="1" x14ac:dyDescent="0.3">
      <c r="A28" s="30" t="s">
        <v>415</v>
      </c>
      <c r="B28" s="27">
        <v>0</v>
      </c>
      <c r="C28" s="27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21.440962942856814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0</v>
      </c>
      <c r="CB28" s="25">
        <v>0</v>
      </c>
    </row>
    <row r="29" spans="1:80" ht="15.75" customHeight="1" x14ac:dyDescent="0.3">
      <c r="A29" s="30" t="s">
        <v>416</v>
      </c>
      <c r="B29" s="27">
        <v>0</v>
      </c>
      <c r="C29" s="27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11.404990797625715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  <c r="CB29" s="25">
        <v>0</v>
      </c>
    </row>
    <row r="30" spans="1:80" ht="15.75" customHeight="1" x14ac:dyDescent="0.3">
      <c r="A30" s="30" t="s">
        <v>417</v>
      </c>
      <c r="B30" s="27">
        <v>0</v>
      </c>
      <c r="C30" s="27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4.5496314407877732</v>
      </c>
      <c r="S30" s="25">
        <v>24.2413975538194</v>
      </c>
      <c r="T30" s="25">
        <v>22.295884417740737</v>
      </c>
      <c r="U30" s="25">
        <v>0</v>
      </c>
      <c r="V30" s="25">
        <v>42.538808851047975</v>
      </c>
      <c r="W30" s="25">
        <v>17.99103085928304</v>
      </c>
      <c r="X30" s="25">
        <v>5.4226004423200678</v>
      </c>
      <c r="Y30" s="25">
        <v>48.597589144313531</v>
      </c>
      <c r="Z30" s="25">
        <v>0</v>
      </c>
      <c r="AA30" s="25">
        <v>0</v>
      </c>
      <c r="AB30" s="25">
        <v>4.8550044689885121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926.7556253289049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</row>
    <row r="31" spans="1:80" ht="15.75" customHeight="1" x14ac:dyDescent="0.3">
      <c r="A31" s="30" t="s">
        <v>418</v>
      </c>
      <c r="B31" s="27">
        <v>0</v>
      </c>
      <c r="C31" s="27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19.532157191487581</v>
      </c>
      <c r="N31" s="25">
        <v>0</v>
      </c>
      <c r="O31" s="25">
        <v>0</v>
      </c>
      <c r="P31" s="25">
        <v>5.1496895169465908</v>
      </c>
      <c r="Q31" s="25">
        <v>21.778874875312894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4.2354502048249012</v>
      </c>
      <c r="Z31" s="25">
        <v>18.079378647242532</v>
      </c>
      <c r="AA31" s="25">
        <v>0</v>
      </c>
      <c r="AB31" s="25">
        <v>0</v>
      </c>
      <c r="AC31" s="25">
        <v>1.2501394788275297</v>
      </c>
      <c r="AD31" s="25">
        <v>222.6870829602581</v>
      </c>
      <c r="AE31" s="25">
        <v>8.9468789711697596</v>
      </c>
      <c r="AF31" s="25">
        <v>1.7358109004804414</v>
      </c>
      <c r="AG31" s="25">
        <v>0</v>
      </c>
      <c r="AH31" s="25">
        <v>3.507402596551481</v>
      </c>
      <c r="AI31" s="25">
        <v>0</v>
      </c>
      <c r="AJ31" s="25">
        <v>180.8398820682182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  <c r="CB31" s="25">
        <v>0</v>
      </c>
    </row>
    <row r="32" spans="1:80" ht="15.75" customHeight="1" x14ac:dyDescent="0.3">
      <c r="A32" s="30" t="s">
        <v>419</v>
      </c>
      <c r="B32" s="27">
        <v>0</v>
      </c>
      <c r="C32" s="27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9.4569280452889846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7.0832178446552172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  <c r="CB32" s="25">
        <v>0</v>
      </c>
    </row>
    <row r="33" spans="1:80" ht="15.75" customHeight="1" x14ac:dyDescent="0.3">
      <c r="A33" s="30" t="s">
        <v>420</v>
      </c>
      <c r="B33" s="27">
        <v>0</v>
      </c>
      <c r="C33" s="27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3.4444053550300286</v>
      </c>
      <c r="N33" s="25">
        <v>0</v>
      </c>
      <c r="O33" s="25">
        <v>0</v>
      </c>
      <c r="P33" s="25">
        <v>9.6097430091526821</v>
      </c>
      <c r="Q33" s="25">
        <v>17.128882423946092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3.0007242601939219</v>
      </c>
      <c r="Z33" s="25">
        <v>8.5308145168683591</v>
      </c>
      <c r="AA33" s="25">
        <v>2.6974971715152711</v>
      </c>
      <c r="AB33" s="25">
        <v>0</v>
      </c>
      <c r="AC33" s="25">
        <v>0.81922258216258148</v>
      </c>
      <c r="AD33" s="25">
        <v>17.842001070501912</v>
      </c>
      <c r="AE33" s="25">
        <v>1.2378159768038139</v>
      </c>
      <c r="AF33" s="25">
        <v>1.548164354053422</v>
      </c>
      <c r="AG33" s="25">
        <v>0</v>
      </c>
      <c r="AH33" s="25">
        <v>1.817140315700102</v>
      </c>
      <c r="AI33" s="25">
        <v>0</v>
      </c>
      <c r="AJ33" s="25">
        <v>21.855852585206748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0</v>
      </c>
      <c r="CB33" s="25">
        <v>0</v>
      </c>
    </row>
    <row r="34" spans="1:80" ht="15.75" customHeight="1" x14ac:dyDescent="0.3">
      <c r="A34" s="30" t="s">
        <v>421</v>
      </c>
      <c r="B34" s="27">
        <v>0</v>
      </c>
      <c r="C34" s="27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5.6513107406367977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1.4542813698008608</v>
      </c>
      <c r="AD34" s="25">
        <v>52.122022104802362</v>
      </c>
      <c r="AE34" s="25">
        <v>3.776032047420109</v>
      </c>
      <c r="AF34" s="25">
        <v>2.7716120172680365</v>
      </c>
      <c r="AG34" s="25">
        <v>1.4608337081396592</v>
      </c>
      <c r="AH34" s="25">
        <v>8.7914551014730495</v>
      </c>
      <c r="AI34" s="25">
        <v>0</v>
      </c>
      <c r="AJ34" s="25">
        <v>48.306781791799715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</row>
    <row r="35" spans="1:80" ht="15.75" customHeight="1" x14ac:dyDescent="0.3">
      <c r="A35" s="30" t="s">
        <v>422</v>
      </c>
      <c r="B35" s="27">
        <v>0</v>
      </c>
      <c r="C35" s="27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7.5565620512968286</v>
      </c>
      <c r="Q35" s="25">
        <v>16.098651025242784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4.2140761368614248</v>
      </c>
      <c r="Z35" s="25">
        <v>3.2279495851845383</v>
      </c>
      <c r="AA35" s="25">
        <v>0.94228453221433417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  <c r="CA35" s="25">
        <v>0</v>
      </c>
      <c r="CB35" s="25">
        <v>0</v>
      </c>
    </row>
    <row r="36" spans="1:80" ht="15.75" customHeight="1" x14ac:dyDescent="0.3">
      <c r="A36" s="30" t="s">
        <v>423</v>
      </c>
      <c r="B36" s="27">
        <v>0</v>
      </c>
      <c r="C36" s="27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75.062650856118069</v>
      </c>
      <c r="N36" s="25">
        <v>0</v>
      </c>
      <c r="O36" s="25">
        <v>0</v>
      </c>
      <c r="P36" s="25">
        <v>41.996298427433196</v>
      </c>
      <c r="Q36" s="25">
        <v>83.522457569301352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18.380463605650011</v>
      </c>
      <c r="Z36" s="25">
        <v>95.778915243910021</v>
      </c>
      <c r="AA36" s="25">
        <v>40.055725266837648</v>
      </c>
      <c r="AB36" s="25">
        <v>0</v>
      </c>
      <c r="AC36" s="25">
        <v>6.0377194817314388</v>
      </c>
      <c r="AD36" s="25">
        <v>125.57720211789713</v>
      </c>
      <c r="AE36" s="25">
        <v>15.518287768977821</v>
      </c>
      <c r="AF36" s="25">
        <v>7.4891303364476505</v>
      </c>
      <c r="AG36" s="25">
        <v>0</v>
      </c>
      <c r="AH36" s="25">
        <v>16.735979194298572</v>
      </c>
      <c r="AI36" s="25">
        <v>32.432573815765373</v>
      </c>
      <c r="AJ36" s="25">
        <v>109.77317730491852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0</v>
      </c>
      <c r="CB36" s="25">
        <v>0</v>
      </c>
    </row>
    <row r="37" spans="1:80" ht="15.75" customHeight="1" x14ac:dyDescent="0.3">
      <c r="A37" s="30" t="s">
        <v>424</v>
      </c>
      <c r="B37" s="27">
        <v>0</v>
      </c>
      <c r="C37" s="27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7.0367169701391292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10.371757068716935</v>
      </c>
      <c r="AD37" s="25">
        <v>88.454135958488564</v>
      </c>
      <c r="AE37" s="25">
        <v>20.933920469804594</v>
      </c>
      <c r="AF37" s="25">
        <v>8.8740415290725903</v>
      </c>
      <c r="AG37" s="25">
        <v>7.409106737668357</v>
      </c>
      <c r="AH37" s="25">
        <v>55.900614195591771</v>
      </c>
      <c r="AI37" s="25">
        <v>0</v>
      </c>
      <c r="AJ37" s="25">
        <v>81.66055953768992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</row>
    <row r="38" spans="1:80" ht="15.75" customHeight="1" x14ac:dyDescent="0.3">
      <c r="A38" s="30" t="s">
        <v>425</v>
      </c>
      <c r="B38" s="27">
        <v>0</v>
      </c>
      <c r="C38" s="27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20.250357161042189</v>
      </c>
      <c r="N38" s="25">
        <v>2.5226710025927823</v>
      </c>
      <c r="O38" s="25">
        <v>2.5268819877645088</v>
      </c>
      <c r="P38" s="25">
        <v>64.312508349644006</v>
      </c>
      <c r="Q38" s="25">
        <v>155.49518035354291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51.108901720512563</v>
      </c>
      <c r="Z38" s="25">
        <v>182.3963202619403</v>
      </c>
      <c r="AA38" s="25">
        <v>50.188134447283886</v>
      </c>
      <c r="AB38" s="25">
        <v>0</v>
      </c>
      <c r="AC38" s="25">
        <v>0</v>
      </c>
      <c r="AD38" s="25">
        <v>10.519117909441938</v>
      </c>
      <c r="AE38" s="25">
        <v>0</v>
      </c>
      <c r="AF38" s="25">
        <v>0</v>
      </c>
      <c r="AG38" s="25">
        <v>0</v>
      </c>
      <c r="AH38" s="25">
        <v>0</v>
      </c>
      <c r="AI38" s="25">
        <v>296.05077706345554</v>
      </c>
      <c r="AJ38" s="25">
        <v>3.0038446781368902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  <c r="CA38" s="25">
        <v>0</v>
      </c>
      <c r="CB38" s="25">
        <v>0</v>
      </c>
    </row>
    <row r="39" spans="1:80" ht="15.75" customHeight="1" x14ac:dyDescent="0.3">
      <c r="A39" s="30" t="s">
        <v>339</v>
      </c>
      <c r="B39" s="27">
        <v>0</v>
      </c>
      <c r="C39" s="27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2.1455994545881407</v>
      </c>
      <c r="BL39" s="25">
        <v>1.2933635148401397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  <c r="CB39" s="25">
        <v>0</v>
      </c>
    </row>
    <row r="40" spans="1:80" ht="15.75" customHeight="1" x14ac:dyDescent="0.3">
      <c r="A40" s="30" t="s">
        <v>426</v>
      </c>
      <c r="B40" s="27">
        <v>0</v>
      </c>
      <c r="C40" s="27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12.172010968263947</v>
      </c>
      <c r="BP40" s="25">
        <v>32.475330564129699</v>
      </c>
      <c r="BQ40" s="25">
        <v>30.503496561461734</v>
      </c>
      <c r="BR40" s="25">
        <v>25.573838035486077</v>
      </c>
      <c r="BS40" s="25">
        <v>0</v>
      </c>
      <c r="BT40" s="25">
        <v>0</v>
      </c>
      <c r="BU40" s="25">
        <v>0</v>
      </c>
      <c r="BV40" s="25">
        <v>0</v>
      </c>
      <c r="BW40" s="25">
        <v>33.038376778841112</v>
      </c>
      <c r="BX40" s="25">
        <v>13.764881449310179</v>
      </c>
      <c r="BY40" s="25">
        <v>4.0676881956658351</v>
      </c>
      <c r="BZ40" s="25">
        <v>37.141782931590477</v>
      </c>
      <c r="CA40" s="25">
        <v>15.365894277391979</v>
      </c>
      <c r="CB40" s="25">
        <v>1.765335336841626</v>
      </c>
    </row>
    <row r="41" spans="1:80" ht="15.75" customHeight="1" x14ac:dyDescent="0.3">
      <c r="A41" s="30" t="s">
        <v>427</v>
      </c>
      <c r="B41" s="27">
        <v>0</v>
      </c>
      <c r="C41" s="27">
        <v>1.77</v>
      </c>
      <c r="D41" s="25">
        <v>1.7696763447123882</v>
      </c>
      <c r="E41" s="25">
        <v>0</v>
      </c>
      <c r="F41" s="25">
        <v>0</v>
      </c>
      <c r="G41" s="25">
        <v>0</v>
      </c>
      <c r="H41" s="25">
        <v>0</v>
      </c>
      <c r="I41" s="25">
        <v>2.6972683552107468</v>
      </c>
      <c r="J41" s="25">
        <v>0</v>
      </c>
      <c r="K41" s="25">
        <v>1.5040956299622887</v>
      </c>
      <c r="L41" s="25">
        <v>0.85756825032279327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0.36513361940976302</v>
      </c>
      <c r="BE41" s="25">
        <v>0.16266530451290509</v>
      </c>
      <c r="BF41" s="25">
        <v>1.993392346912791</v>
      </c>
      <c r="BG41" s="25">
        <v>7.770415293673568</v>
      </c>
      <c r="BH41" s="25">
        <v>0.39770265397437493</v>
      </c>
      <c r="BI41" s="25">
        <v>40.492388329020535</v>
      </c>
      <c r="BJ41" s="25">
        <v>0.98674601049862376</v>
      </c>
      <c r="BK41" s="25">
        <v>0</v>
      </c>
      <c r="BL41" s="25">
        <v>0</v>
      </c>
      <c r="BM41" s="25">
        <v>0</v>
      </c>
      <c r="BN41" s="25">
        <v>0</v>
      </c>
      <c r="BO41" s="25">
        <v>22.57099271509075</v>
      </c>
      <c r="BP41" s="25">
        <v>352.22467080488804</v>
      </c>
      <c r="BQ41" s="25">
        <v>318.44386003887161</v>
      </c>
      <c r="BR41" s="25">
        <v>465.3786748146486</v>
      </c>
      <c r="BS41" s="25">
        <v>0</v>
      </c>
      <c r="BT41" s="25">
        <v>11.559597117299816</v>
      </c>
      <c r="BU41" s="25">
        <v>87.483469513856235</v>
      </c>
      <c r="BV41" s="25">
        <v>0</v>
      </c>
      <c r="BW41" s="25">
        <v>104.79521453128919</v>
      </c>
      <c r="BX41" s="25">
        <v>108.05986879704331</v>
      </c>
      <c r="BY41" s="25">
        <v>1.3409834090325872</v>
      </c>
      <c r="BZ41" s="25">
        <v>5.6693118572611789</v>
      </c>
      <c r="CA41" s="25">
        <v>2.3944432553903248</v>
      </c>
      <c r="CB41" s="25">
        <v>0</v>
      </c>
    </row>
    <row r="42" spans="1:80" ht="15.75" customHeight="1" x14ac:dyDescent="0.3">
      <c r="A42" s="30" t="s">
        <v>428</v>
      </c>
      <c r="B42" s="27">
        <v>0</v>
      </c>
      <c r="C42" s="27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5.1628890096640463</v>
      </c>
      <c r="BQ42" s="25">
        <v>3.5646772855699651</v>
      </c>
      <c r="BR42" s="25">
        <v>4.2674554170514902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  <c r="CB42" s="25">
        <v>0</v>
      </c>
    </row>
    <row r="43" spans="1:80" ht="15.75" customHeight="1" x14ac:dyDescent="0.3">
      <c r="A43" s="30" t="s">
        <v>429</v>
      </c>
      <c r="B43" s="27">
        <v>0</v>
      </c>
      <c r="C43" s="27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604.74767430687791</v>
      </c>
      <c r="BT43" s="25">
        <v>307.58407341472952</v>
      </c>
      <c r="BU43" s="25">
        <v>53.342867704157491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  <c r="CA43" s="25">
        <v>0</v>
      </c>
      <c r="CB43" s="25">
        <v>0</v>
      </c>
    </row>
    <row r="44" spans="1:80" ht="15.75" customHeight="1" x14ac:dyDescent="0.3">
      <c r="A44" s="30" t="s">
        <v>430</v>
      </c>
      <c r="B44" s="27">
        <v>0</v>
      </c>
      <c r="C44" s="27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1.8938070487200829</v>
      </c>
      <c r="BT44" s="25">
        <v>1.2071713026074324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  <c r="CA44" s="25">
        <v>0</v>
      </c>
      <c r="CB44" s="25">
        <v>0</v>
      </c>
    </row>
    <row r="45" spans="1:80" ht="15.75" customHeight="1" x14ac:dyDescent="0.3">
      <c r="A45" s="30" t="s">
        <v>431</v>
      </c>
      <c r="B45" s="27">
        <v>0</v>
      </c>
      <c r="C45" s="27">
        <v>40.74</v>
      </c>
      <c r="D45" s="25">
        <v>24.607626086483435</v>
      </c>
      <c r="E45" s="25">
        <v>0</v>
      </c>
      <c r="F45" s="25">
        <v>0</v>
      </c>
      <c r="G45" s="25">
        <v>0</v>
      </c>
      <c r="H45" s="25">
        <v>0</v>
      </c>
      <c r="I45" s="25">
        <v>819.94170395257822</v>
      </c>
      <c r="J45" s="25">
        <v>66.148587981889264</v>
      </c>
      <c r="K45" s="25">
        <v>34.665374392437769</v>
      </c>
      <c r="L45" s="25">
        <v>34.374625730866079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479.25912704513757</v>
      </c>
      <c r="BP45" s="25">
        <v>764.96166297765092</v>
      </c>
      <c r="BQ45" s="25">
        <v>267.31477053485713</v>
      </c>
      <c r="BR45" s="25">
        <v>308.31114572282604</v>
      </c>
      <c r="BS45" s="25">
        <v>406.78311218627738</v>
      </c>
      <c r="BT45" s="25">
        <v>210.68676841964611</v>
      </c>
      <c r="BU45" s="25">
        <v>69.591034240770739</v>
      </c>
      <c r="BV45" s="25">
        <v>0</v>
      </c>
      <c r="BW45" s="25">
        <v>2518.9609852732247</v>
      </c>
      <c r="BX45" s="25">
        <v>3522.2141592115804</v>
      </c>
      <c r="BY45" s="25">
        <v>2.0000543617343722</v>
      </c>
      <c r="BZ45" s="25">
        <v>9.0045561708525863</v>
      </c>
      <c r="CA45" s="25">
        <v>4.9682847718741732</v>
      </c>
      <c r="CB45" s="25">
        <v>0</v>
      </c>
    </row>
    <row r="46" spans="1:80" ht="15.75" customHeight="1" x14ac:dyDescent="0.3">
      <c r="A46" s="30" t="s">
        <v>432</v>
      </c>
      <c r="B46" s="27">
        <v>0</v>
      </c>
      <c r="C46" s="27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3.3372189475936036</v>
      </c>
      <c r="BP46" s="25">
        <v>6.0351670385639835</v>
      </c>
      <c r="BQ46" s="25">
        <v>2.174105477464837</v>
      </c>
      <c r="BR46" s="25">
        <v>1.9967258189230137</v>
      </c>
      <c r="BS46" s="25">
        <v>0</v>
      </c>
      <c r="BT46" s="25">
        <v>0</v>
      </c>
      <c r="BU46" s="25">
        <v>0</v>
      </c>
      <c r="BV46" s="25">
        <v>0</v>
      </c>
      <c r="BW46" s="25">
        <v>26.553057021988458</v>
      </c>
      <c r="BX46" s="25">
        <v>40.524962808262622</v>
      </c>
      <c r="BY46" s="25">
        <v>0</v>
      </c>
      <c r="BZ46" s="25">
        <v>0</v>
      </c>
      <c r="CA46" s="25">
        <v>0</v>
      </c>
      <c r="CB46" s="25">
        <v>0</v>
      </c>
    </row>
    <row r="47" spans="1:80" ht="15.75" customHeight="1" x14ac:dyDescent="0.3">
      <c r="A47" s="30" t="s">
        <v>433</v>
      </c>
      <c r="B47" s="27">
        <v>0</v>
      </c>
      <c r="C47" s="27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8.6729874076571729</v>
      </c>
      <c r="J47" s="25">
        <v>1.1232342958847235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  <c r="CA47" s="25">
        <v>0</v>
      </c>
      <c r="CB47" s="25">
        <v>0</v>
      </c>
    </row>
    <row r="48" spans="1:80" ht="15.75" customHeight="1" x14ac:dyDescent="0.3">
      <c r="A48" s="30" t="s">
        <v>434</v>
      </c>
      <c r="B48" s="27">
        <v>0</v>
      </c>
      <c r="C48" s="27">
        <v>1.42</v>
      </c>
      <c r="D48" s="25">
        <v>0.85021688098915094</v>
      </c>
      <c r="E48" s="25">
        <v>0</v>
      </c>
      <c r="F48" s="25">
        <v>0</v>
      </c>
      <c r="G48" s="25">
        <v>0</v>
      </c>
      <c r="H48" s="25">
        <v>0</v>
      </c>
      <c r="I48" s="25">
        <v>9.7887639020697268</v>
      </c>
      <c r="J48" s="25">
        <v>1.2662382427681855</v>
      </c>
      <c r="K48" s="25">
        <v>0.71288500092825657</v>
      </c>
      <c r="L48" s="25">
        <v>0.28685800685967894</v>
      </c>
      <c r="M48" s="25">
        <v>3.4715613279575877</v>
      </c>
      <c r="N48" s="25">
        <v>7.3390369733081542</v>
      </c>
      <c r="O48" s="25">
        <v>4.6516349654073652</v>
      </c>
      <c r="P48" s="25">
        <v>2.2629531417937758</v>
      </c>
      <c r="Q48" s="25">
        <v>14.12506591644796</v>
      </c>
      <c r="R48" s="25">
        <v>20.663824241968584</v>
      </c>
      <c r="S48" s="25">
        <v>134.49398443418656</v>
      </c>
      <c r="T48" s="25">
        <v>7.8065337091898952</v>
      </c>
      <c r="U48" s="25">
        <v>6.4572310228830538</v>
      </c>
      <c r="V48" s="25">
        <v>53.60461327755619</v>
      </c>
      <c r="W48" s="25">
        <v>29.198467536242941</v>
      </c>
      <c r="X48" s="25">
        <v>11.932275601424744</v>
      </c>
      <c r="Y48" s="25">
        <v>21.049804194824272</v>
      </c>
      <c r="Z48" s="25">
        <v>61.538146133126254</v>
      </c>
      <c r="AA48" s="25">
        <v>9.1538365041121939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29.02302642422816</v>
      </c>
      <c r="BE48" s="25">
        <v>12.219944261207459</v>
      </c>
      <c r="BF48" s="25">
        <v>7.1711300028164127</v>
      </c>
      <c r="BG48" s="25">
        <v>14.275870472272706</v>
      </c>
      <c r="BH48" s="25">
        <v>32.27881450009594</v>
      </c>
      <c r="BI48" s="25">
        <v>6.180280535332412</v>
      </c>
      <c r="BJ48" s="25">
        <v>11.770264294466912</v>
      </c>
      <c r="BK48" s="25">
        <v>0</v>
      </c>
      <c r="BL48" s="25">
        <v>0</v>
      </c>
      <c r="BM48" s="25">
        <v>0</v>
      </c>
      <c r="BN48" s="25">
        <v>0</v>
      </c>
      <c r="BO48" s="25">
        <v>12.889582997956753</v>
      </c>
      <c r="BP48" s="25">
        <v>213.16915809037414</v>
      </c>
      <c r="BQ48" s="25">
        <v>121.79134267477419</v>
      </c>
      <c r="BR48" s="25">
        <v>308.76444787832656</v>
      </c>
      <c r="BS48" s="25">
        <v>5.3488653293313311</v>
      </c>
      <c r="BT48" s="25">
        <v>2.3637774796637192</v>
      </c>
      <c r="BU48" s="25">
        <v>43.621741350703907</v>
      </c>
      <c r="BV48" s="25">
        <v>11.257674481336252</v>
      </c>
      <c r="BW48" s="25">
        <v>14.292412589020254</v>
      </c>
      <c r="BX48" s="25">
        <v>27.350226505054636</v>
      </c>
      <c r="BY48" s="25">
        <v>0</v>
      </c>
      <c r="BZ48" s="25">
        <v>0</v>
      </c>
      <c r="CA48" s="25">
        <v>0</v>
      </c>
      <c r="CB48" s="25">
        <v>0</v>
      </c>
    </row>
    <row r="49" spans="1:80" ht="15.75" customHeight="1" x14ac:dyDescent="0.3">
      <c r="A49" s="30" t="s">
        <v>435</v>
      </c>
      <c r="B49" s="27">
        <v>0</v>
      </c>
      <c r="C49" s="27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2.0778925229043441</v>
      </c>
      <c r="BQ49" s="25">
        <v>2.0122265380091893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</row>
    <row r="50" spans="1:80" ht="15.75" customHeight="1" x14ac:dyDescent="0.3">
      <c r="A50" s="30" t="s">
        <v>436</v>
      </c>
      <c r="B50" s="27">
        <v>0</v>
      </c>
      <c r="C50" s="27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15.566559271150162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  <c r="CA50" s="25">
        <v>0</v>
      </c>
      <c r="CB50" s="25">
        <v>0</v>
      </c>
    </row>
    <row r="51" spans="1:80" ht="15.75" customHeight="1" x14ac:dyDescent="0.3">
      <c r="A51" s="30" t="s">
        <v>437</v>
      </c>
      <c r="B51" s="27">
        <v>0</v>
      </c>
      <c r="C51" s="27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6.3274008088799443</v>
      </c>
      <c r="J51" s="25">
        <v>0.29095939636573587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  <c r="CB51" s="25">
        <v>0</v>
      </c>
    </row>
    <row r="52" spans="1:80" ht="15.75" customHeight="1" x14ac:dyDescent="0.3">
      <c r="A52" s="39" t="s">
        <v>438</v>
      </c>
      <c r="B52" s="40">
        <v>0</v>
      </c>
      <c r="C52" s="40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9.7816570868366668</v>
      </c>
      <c r="Z52" s="25">
        <v>10.724869474472735</v>
      </c>
      <c r="AA52" s="25">
        <v>7.5407594860314973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8.3476795510732718</v>
      </c>
      <c r="BS52" s="25">
        <v>0</v>
      </c>
      <c r="BT52" s="25">
        <v>0</v>
      </c>
      <c r="BU52" s="25">
        <v>0</v>
      </c>
      <c r="BV52" s="25">
        <v>79.349624600570607</v>
      </c>
      <c r="BW52" s="25">
        <v>0</v>
      </c>
      <c r="BX52" s="25">
        <v>0</v>
      </c>
      <c r="BY52" s="25">
        <v>0</v>
      </c>
      <c r="BZ52" s="25">
        <v>0</v>
      </c>
      <c r="CA52" s="25">
        <v>0</v>
      </c>
      <c r="CB52" s="25">
        <v>0</v>
      </c>
    </row>
    <row r="53" spans="1:80" ht="15.75" customHeight="1" x14ac:dyDescent="0.3">
      <c r="A53" s="30" t="s">
        <v>439</v>
      </c>
      <c r="B53" s="27">
        <v>0</v>
      </c>
      <c r="C53" s="27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6.7597746352952299</v>
      </c>
      <c r="N53" s="25">
        <v>0</v>
      </c>
      <c r="O53" s="25">
        <v>0</v>
      </c>
      <c r="P53" s="25">
        <v>0</v>
      </c>
      <c r="Q53" s="25">
        <v>0</v>
      </c>
      <c r="R53" s="25">
        <v>49.278553283601958</v>
      </c>
      <c r="S53" s="25">
        <v>7.4602034237543826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11.439610336209272</v>
      </c>
      <c r="Z53" s="25">
        <v>35.236645491650172</v>
      </c>
      <c r="AA53" s="25">
        <v>3.877215474663037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  <c r="CB53" s="25">
        <v>0</v>
      </c>
    </row>
    <row r="54" spans="1:80" ht="15.75" customHeight="1" x14ac:dyDescent="0.3">
      <c r="A54" s="30" t="s">
        <v>440</v>
      </c>
      <c r="B54" s="27">
        <v>0</v>
      </c>
      <c r="C54" s="27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17.901662218792691</v>
      </c>
      <c r="N54" s="25">
        <v>0</v>
      </c>
      <c r="O54" s="25">
        <v>0</v>
      </c>
      <c r="P54" s="25">
        <v>0</v>
      </c>
      <c r="Q54" s="25">
        <v>0</v>
      </c>
      <c r="R54" s="25">
        <v>113.41614224399051</v>
      </c>
      <c r="S54" s="25">
        <v>9.8238001283230805</v>
      </c>
      <c r="T54" s="25">
        <v>69.093435762551735</v>
      </c>
      <c r="U54" s="25">
        <v>0</v>
      </c>
      <c r="V54" s="25">
        <v>3.4889505317211054</v>
      </c>
      <c r="W54" s="25">
        <v>0</v>
      </c>
      <c r="X54" s="25">
        <v>0</v>
      </c>
      <c r="Y54" s="25">
        <v>24.393854038487746</v>
      </c>
      <c r="Z54" s="25">
        <v>71.606531798420448</v>
      </c>
      <c r="AA54" s="25">
        <v>27.951481073180393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1.4258444684152523</v>
      </c>
      <c r="BQ54" s="25">
        <v>0.87628621088466374</v>
      </c>
      <c r="BR54" s="25">
        <v>2.7305674689189843</v>
      </c>
      <c r="BS54" s="25">
        <v>0</v>
      </c>
      <c r="BT54" s="25">
        <v>0</v>
      </c>
      <c r="BU54" s="25">
        <v>0</v>
      </c>
      <c r="BV54" s="25">
        <v>5.3162796143902087</v>
      </c>
      <c r="BW54" s="25">
        <v>0</v>
      </c>
      <c r="BX54" s="25">
        <v>0</v>
      </c>
      <c r="BY54" s="25">
        <v>0</v>
      </c>
      <c r="BZ54" s="25">
        <v>0</v>
      </c>
      <c r="CA54" s="25">
        <v>0</v>
      </c>
      <c r="CB54" s="25">
        <v>0</v>
      </c>
    </row>
    <row r="55" spans="1:80" ht="15.75" customHeight="1" x14ac:dyDescent="0.3">
      <c r="A55" s="30" t="s">
        <v>441</v>
      </c>
      <c r="B55" s="27">
        <v>0</v>
      </c>
      <c r="C55" s="27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14.757634960742406</v>
      </c>
      <c r="J55" s="25">
        <v>1.280288709451457</v>
      </c>
      <c r="K55" s="25">
        <v>11.456719403769597</v>
      </c>
      <c r="L55" s="25">
        <v>7.4901867514976743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44.609346800101072</v>
      </c>
      <c r="BP55" s="25">
        <v>398.15242509881432</v>
      </c>
      <c r="BQ55" s="25">
        <v>379.84844481926598</v>
      </c>
      <c r="BR55" s="25">
        <v>457.47897275573558</v>
      </c>
      <c r="BS55" s="25">
        <v>5.654142359704017</v>
      </c>
      <c r="BT55" s="25">
        <v>26.81687010779531</v>
      </c>
      <c r="BU55" s="25">
        <v>90.732521732353362</v>
      </c>
      <c r="BV55" s="25">
        <v>0</v>
      </c>
      <c r="BW55" s="25">
        <v>149.672118584234</v>
      </c>
      <c r="BX55" s="25">
        <v>129.16873899546275</v>
      </c>
      <c r="BY55" s="25">
        <v>6.8852478292986374</v>
      </c>
      <c r="BZ55" s="25">
        <v>43.412132962061456</v>
      </c>
      <c r="CA55" s="25">
        <v>20.686105464127962</v>
      </c>
      <c r="CB55" s="25">
        <v>2.4325682629563374</v>
      </c>
    </row>
    <row r="56" spans="1:80" ht="15.75" customHeight="1" x14ac:dyDescent="0.3">
      <c r="A56" s="30" t="s">
        <v>555</v>
      </c>
      <c r="B56" s="27">
        <v>0</v>
      </c>
      <c r="C56" s="27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5.9115768707321594</v>
      </c>
      <c r="BQ56" s="25">
        <v>5.2569228612633774</v>
      </c>
      <c r="BR56" s="25">
        <v>5.0919492698938464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  <c r="CA56" s="25">
        <v>0</v>
      </c>
      <c r="CB56" s="25">
        <v>0</v>
      </c>
    </row>
    <row r="57" spans="1:80" ht="15.75" customHeight="1" x14ac:dyDescent="0.3">
      <c r="A57" s="30" t="s">
        <v>442</v>
      </c>
      <c r="B57" s="27">
        <v>0</v>
      </c>
      <c r="C57" s="27">
        <v>13.9</v>
      </c>
      <c r="D57" s="25">
        <v>7.4442240501452082</v>
      </c>
      <c r="E57" s="25">
        <v>0</v>
      </c>
      <c r="F57" s="25">
        <v>0</v>
      </c>
      <c r="G57" s="25">
        <v>0</v>
      </c>
      <c r="H57" s="25">
        <v>0</v>
      </c>
      <c r="I57" s="25">
        <v>9.4368289539149668</v>
      </c>
      <c r="J57" s="25">
        <v>7.5910276795464613</v>
      </c>
      <c r="K57" s="25">
        <v>0.67010063965279076</v>
      </c>
      <c r="L57" s="25">
        <v>0.47371039643171803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4.6968259129231891</v>
      </c>
      <c r="S57" s="25">
        <v>21.099264152926541</v>
      </c>
      <c r="T57" s="25">
        <v>0</v>
      </c>
      <c r="U57" s="25">
        <v>0</v>
      </c>
      <c r="V57" s="25">
        <v>0</v>
      </c>
      <c r="W57" s="25">
        <v>1.2150989964331902</v>
      </c>
      <c r="X57" s="25">
        <v>0</v>
      </c>
      <c r="Y57" s="25">
        <v>0</v>
      </c>
      <c r="Z57" s="25">
        <v>4.144851741384489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8.5663208556384429</v>
      </c>
      <c r="BE57" s="25">
        <v>7.9733621272435853</v>
      </c>
      <c r="BF57" s="25">
        <v>7.3326148430386739</v>
      </c>
      <c r="BG57" s="25">
        <v>12.288054398788065</v>
      </c>
      <c r="BH57" s="25">
        <v>7.6817785077316714</v>
      </c>
      <c r="BI57" s="25">
        <v>7.3991057184597997</v>
      </c>
      <c r="BJ57" s="25">
        <v>0.88009782023119776</v>
      </c>
      <c r="BK57" s="25">
        <v>0</v>
      </c>
      <c r="BL57" s="25">
        <v>0</v>
      </c>
      <c r="BM57" s="25">
        <v>0</v>
      </c>
      <c r="BN57" s="25">
        <v>0</v>
      </c>
      <c r="BO57" s="25">
        <v>9.9526600741089002</v>
      </c>
      <c r="BP57" s="25">
        <v>94.86164265813926</v>
      </c>
      <c r="BQ57" s="25">
        <v>120.52807402016192</v>
      </c>
      <c r="BR57" s="25">
        <v>407.8699476902396</v>
      </c>
      <c r="BS57" s="25">
        <v>2.3945631887526377</v>
      </c>
      <c r="BT57" s="25">
        <v>3.7898789374361166</v>
      </c>
      <c r="BU57" s="25">
        <v>61.125069970596051</v>
      </c>
      <c r="BV57" s="25">
        <v>1.8817133261402923</v>
      </c>
      <c r="BW57" s="25">
        <v>11.71794367425492</v>
      </c>
      <c r="BX57" s="25">
        <v>12.934297867631463</v>
      </c>
      <c r="BY57" s="25">
        <v>9.6720876024800209</v>
      </c>
      <c r="BZ57" s="25">
        <v>34.021827627293227</v>
      </c>
      <c r="CA57" s="25">
        <v>19.837246107853925</v>
      </c>
      <c r="CB57" s="25">
        <v>7.3209655274192427</v>
      </c>
    </row>
    <row r="58" spans="1:80" ht="15.75" customHeight="1" x14ac:dyDescent="0.3">
      <c r="A58" s="30" t="s">
        <v>443</v>
      </c>
      <c r="B58" s="27">
        <v>0</v>
      </c>
      <c r="C58" s="27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25">
        <v>0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67.145771810430844</v>
      </c>
      <c r="BW58" s="25">
        <v>0</v>
      </c>
      <c r="BX58" s="25">
        <v>0</v>
      </c>
      <c r="BY58" s="25">
        <v>0</v>
      </c>
      <c r="BZ58" s="25">
        <v>0</v>
      </c>
      <c r="CA58" s="25">
        <v>0</v>
      </c>
      <c r="CB58" s="25">
        <v>0</v>
      </c>
    </row>
    <row r="59" spans="1:80" ht="15.75" customHeight="1" x14ac:dyDescent="0.3">
      <c r="A59" s="30" t="s">
        <v>444</v>
      </c>
      <c r="B59" s="27">
        <v>0</v>
      </c>
      <c r="C59" s="27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22.35895285043274</v>
      </c>
      <c r="S59" s="25">
        <v>2.7849441369375594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5.7121637821308751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</row>
    <row r="60" spans="1:80" ht="15.75" customHeight="1" x14ac:dyDescent="0.3">
      <c r="A60" s="30" t="s">
        <v>300</v>
      </c>
      <c r="B60" s="27">
        <v>0</v>
      </c>
      <c r="C60" s="27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25">
        <v>0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2.1330141459620697</v>
      </c>
      <c r="BL60" s="25">
        <v>2.2199596429436692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  <c r="CA60" s="25">
        <v>0</v>
      </c>
      <c r="CB60" s="25">
        <v>0</v>
      </c>
    </row>
    <row r="61" spans="1:80" ht="15.75" customHeight="1" x14ac:dyDescent="0.3">
      <c r="A61" s="30" t="s">
        <v>445</v>
      </c>
      <c r="B61" s="27">
        <v>14.9</v>
      </c>
      <c r="C61" s="27">
        <v>211.4</v>
      </c>
      <c r="D61" s="25">
        <v>105.9195566120256</v>
      </c>
      <c r="E61" s="25">
        <v>0</v>
      </c>
      <c r="F61" s="25">
        <v>0</v>
      </c>
      <c r="G61" s="25">
        <v>0</v>
      </c>
      <c r="H61" s="25">
        <v>0</v>
      </c>
      <c r="I61" s="25">
        <v>915.16084962923594</v>
      </c>
      <c r="J61" s="25">
        <v>2073.7349280837025</v>
      </c>
      <c r="K61" s="25">
        <v>64.398917765544169</v>
      </c>
      <c r="L61" s="25">
        <v>45.384157830307799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8.6253233860656042</v>
      </c>
      <c r="S61" s="25">
        <v>9.2645592006776187</v>
      </c>
      <c r="T61" s="25">
        <v>22.278675951170101</v>
      </c>
      <c r="U61" s="25">
        <v>0</v>
      </c>
      <c r="V61" s="25">
        <v>0</v>
      </c>
      <c r="W61" s="25">
        <v>3.7028420465899514</v>
      </c>
      <c r="X61" s="25">
        <v>1.0139753649330572</v>
      </c>
      <c r="Y61" s="25">
        <v>3.786823277248704</v>
      </c>
      <c r="Z61" s="25">
        <v>14.364487833786958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25">
        <v>0</v>
      </c>
      <c r="BD61" s="25">
        <v>47.246982116489711</v>
      </c>
      <c r="BE61" s="25">
        <v>12.298849359207912</v>
      </c>
      <c r="BF61" s="25">
        <v>39.630298669509102</v>
      </c>
      <c r="BG61" s="25">
        <v>38.621816154147119</v>
      </c>
      <c r="BH61" s="25">
        <v>13.160443125020116</v>
      </c>
      <c r="BI61" s="25">
        <v>5.9127259685471349</v>
      </c>
      <c r="BJ61" s="25">
        <v>0.8453795017464415</v>
      </c>
      <c r="BK61" s="25">
        <v>0</v>
      </c>
      <c r="BL61" s="25">
        <v>0</v>
      </c>
      <c r="BM61" s="25">
        <v>0</v>
      </c>
      <c r="BN61" s="25">
        <v>0</v>
      </c>
      <c r="BO61" s="25">
        <v>149.61501584786984</v>
      </c>
      <c r="BP61" s="25">
        <v>704.99970106880926</v>
      </c>
      <c r="BQ61" s="25">
        <v>470.19310729382465</v>
      </c>
      <c r="BR61" s="25">
        <v>436.4429650169493</v>
      </c>
      <c r="BS61" s="25">
        <v>163.11393563318993</v>
      </c>
      <c r="BT61" s="25">
        <v>101.03374778731397</v>
      </c>
      <c r="BU61" s="25">
        <v>61.505745378101814</v>
      </c>
      <c r="BV61" s="25">
        <v>0</v>
      </c>
      <c r="BW61" s="25">
        <v>290.72920684248345</v>
      </c>
      <c r="BX61" s="25">
        <v>1756.9641997643994</v>
      </c>
      <c r="BY61" s="25">
        <v>18.562121272323665</v>
      </c>
      <c r="BZ61" s="25">
        <v>79.971081887935171</v>
      </c>
      <c r="CA61" s="25">
        <v>58.145472402373201</v>
      </c>
      <c r="CB61" s="25">
        <v>6.5163632911815803</v>
      </c>
    </row>
    <row r="62" spans="1:80" ht="15.75" customHeight="1" x14ac:dyDescent="0.3">
      <c r="A62" s="30" t="s">
        <v>446</v>
      </c>
      <c r="B62" s="27">
        <v>0</v>
      </c>
      <c r="C62" s="27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4.0465249837219348</v>
      </c>
      <c r="J62" s="25">
        <v>9.3827472130689937</v>
      </c>
      <c r="K62" s="25">
        <v>0.66844131497038906</v>
      </c>
      <c r="L62" s="25">
        <v>0.46933417258588328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25">
        <v>147.20042799806041</v>
      </c>
      <c r="BE62" s="25">
        <v>163.64593320408321</v>
      </c>
      <c r="BF62" s="25">
        <v>322.44393142205848</v>
      </c>
      <c r="BG62" s="25">
        <v>426.19893896838295</v>
      </c>
      <c r="BH62" s="25">
        <v>165.74626432607064</v>
      </c>
      <c r="BI62" s="25">
        <v>389.49396389841831</v>
      </c>
      <c r="BJ62" s="25">
        <v>31.791207608735125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9.5371787700824822</v>
      </c>
      <c r="BQ62" s="25">
        <v>5.7713489156632614</v>
      </c>
      <c r="BR62" s="25">
        <v>5.2362719739554029</v>
      </c>
      <c r="BS62" s="25">
        <v>0.13890413885362349</v>
      </c>
      <c r="BT62" s="25">
        <v>0.18483422383152961</v>
      </c>
      <c r="BU62" s="25">
        <v>0</v>
      </c>
      <c r="BV62" s="25">
        <v>0</v>
      </c>
      <c r="BW62" s="25">
        <v>5.2172833591184045</v>
      </c>
      <c r="BX62" s="25">
        <v>39.184849920219868</v>
      </c>
      <c r="BY62" s="25">
        <v>0</v>
      </c>
      <c r="BZ62" s="25">
        <v>0</v>
      </c>
      <c r="CA62" s="25">
        <v>0</v>
      </c>
      <c r="CB62" s="25">
        <v>0</v>
      </c>
    </row>
    <row r="63" spans="1:80" ht="15.75" customHeight="1" x14ac:dyDescent="0.3">
      <c r="A63" s="30" t="s">
        <v>447</v>
      </c>
      <c r="B63" s="27">
        <v>0</v>
      </c>
      <c r="C63" s="27">
        <v>1.35</v>
      </c>
      <c r="D63" s="25">
        <v>0.76341019776193308</v>
      </c>
      <c r="E63" s="25">
        <v>0</v>
      </c>
      <c r="F63" s="25">
        <v>0</v>
      </c>
      <c r="G63" s="25">
        <v>0</v>
      </c>
      <c r="H63" s="25">
        <v>0</v>
      </c>
      <c r="I63" s="25">
        <v>5.7581410066461132</v>
      </c>
      <c r="J63" s="25">
        <v>82.369610309636869</v>
      </c>
      <c r="K63" s="25">
        <v>1.1788920940718899</v>
      </c>
      <c r="L63" s="25">
        <v>0.55941991510852696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564.81815543040796</v>
      </c>
      <c r="BE63" s="25">
        <v>48.354710232499819</v>
      </c>
      <c r="BF63" s="25">
        <v>261.47867648291049</v>
      </c>
      <c r="BG63" s="25">
        <v>221.84564026673547</v>
      </c>
      <c r="BH63" s="25">
        <v>116.36692874144136</v>
      </c>
      <c r="BI63" s="25">
        <v>26.213725838232904</v>
      </c>
      <c r="BJ63" s="25">
        <v>10.10513509514538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2.799713527434156</v>
      </c>
      <c r="BQ63" s="25">
        <v>1.2922381104376262</v>
      </c>
      <c r="BR63" s="25">
        <v>0</v>
      </c>
      <c r="BS63" s="25">
        <v>3.4856788034635056</v>
      </c>
      <c r="BT63" s="25">
        <v>2.0749910268645277</v>
      </c>
      <c r="BU63" s="25">
        <v>0</v>
      </c>
      <c r="BV63" s="25">
        <v>0</v>
      </c>
      <c r="BW63" s="25">
        <v>4.3911954487810272</v>
      </c>
      <c r="BX63" s="25">
        <v>41.585042928807233</v>
      </c>
      <c r="BY63" s="25">
        <v>1.7715494277047499</v>
      </c>
      <c r="BZ63" s="25">
        <v>4.2866648171082886</v>
      </c>
      <c r="CA63" s="25">
        <v>2.5733222051481466</v>
      </c>
      <c r="CB63" s="25">
        <v>1.4003137940111914</v>
      </c>
    </row>
    <row r="64" spans="1:80" ht="15.75" customHeight="1" x14ac:dyDescent="0.3">
      <c r="A64" s="30" t="s">
        <v>448</v>
      </c>
      <c r="B64" s="27">
        <v>0</v>
      </c>
      <c r="C64" s="27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7.9292968982481247</v>
      </c>
      <c r="J64" s="25">
        <v>11.317799717749514</v>
      </c>
      <c r="K64" s="25">
        <v>0.64634279404681871</v>
      </c>
      <c r="L64" s="25">
        <v>0.56871648791106277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2289.9066788890491</v>
      </c>
      <c r="BE64" s="25">
        <v>1747.7866992275688</v>
      </c>
      <c r="BF64" s="25">
        <v>2330.9892247807952</v>
      </c>
      <c r="BG64" s="25">
        <v>1480.3293964265049</v>
      </c>
      <c r="BH64" s="25">
        <v>915.97351699480407</v>
      </c>
      <c r="BI64" s="25">
        <v>428.98123044136787</v>
      </c>
      <c r="BJ64" s="25">
        <v>161.83932334344127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0.73860525755738005</v>
      </c>
      <c r="BX64" s="25">
        <v>2.4895606305059137</v>
      </c>
      <c r="BY64" s="25">
        <v>0</v>
      </c>
      <c r="BZ64" s="25">
        <v>0</v>
      </c>
      <c r="CA64" s="25">
        <v>0</v>
      </c>
      <c r="CB64" s="25">
        <v>0</v>
      </c>
    </row>
    <row r="65" spans="1:80" ht="15.75" customHeight="1" x14ac:dyDescent="0.3">
      <c r="A65" s="30" t="s">
        <v>449</v>
      </c>
      <c r="B65" s="27">
        <v>4.5599999999999996</v>
      </c>
      <c r="C65" s="27">
        <v>4.7300000000000004</v>
      </c>
      <c r="D65" s="25">
        <v>5.1354909393345745</v>
      </c>
      <c r="E65" s="25">
        <v>0</v>
      </c>
      <c r="F65" s="25">
        <v>0</v>
      </c>
      <c r="G65" s="25">
        <v>0</v>
      </c>
      <c r="H65" s="25">
        <v>0</v>
      </c>
      <c r="I65" s="25">
        <v>24.770161515828718</v>
      </c>
      <c r="J65" s="25">
        <v>55.758703110173919</v>
      </c>
      <c r="K65" s="25">
        <v>4.698431714794836</v>
      </c>
      <c r="L65" s="25">
        <v>2.6118278702222901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4.673039458744972</v>
      </c>
      <c r="Z65" s="25">
        <v>8.6471494025979769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26.812273077474369</v>
      </c>
      <c r="BE65" s="25">
        <v>19.440338548885364</v>
      </c>
      <c r="BF65" s="25">
        <v>23.36084422093208</v>
      </c>
      <c r="BG65" s="25">
        <v>22.056226365643852</v>
      </c>
      <c r="BH65" s="25">
        <v>13.133790222526173</v>
      </c>
      <c r="BI65" s="25">
        <v>3.3920386303772214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1.0406248359305852</v>
      </c>
      <c r="BP65" s="25">
        <v>7.1899861410742263</v>
      </c>
      <c r="BQ65" s="25">
        <v>6.4999883399180689</v>
      </c>
      <c r="BR65" s="25">
        <v>2.5761696893539661</v>
      </c>
      <c r="BS65" s="25">
        <v>0</v>
      </c>
      <c r="BT65" s="25">
        <v>0</v>
      </c>
      <c r="BU65" s="25">
        <v>0</v>
      </c>
      <c r="BV65" s="25">
        <v>0</v>
      </c>
      <c r="BW65" s="25">
        <v>2.411973146786333</v>
      </c>
      <c r="BX65" s="25">
        <v>4.3694413470738276</v>
      </c>
      <c r="BY65" s="25">
        <v>0</v>
      </c>
      <c r="BZ65" s="25">
        <v>0</v>
      </c>
      <c r="CA65" s="25">
        <v>0</v>
      </c>
      <c r="CB65" s="25">
        <v>0</v>
      </c>
    </row>
    <row r="66" spans="1:80" ht="15.75" customHeight="1" x14ac:dyDescent="0.3">
      <c r="A66" s="30" t="s">
        <v>450</v>
      </c>
      <c r="B66" s="27">
        <v>3.52</v>
      </c>
      <c r="C66" s="27">
        <v>3.62</v>
      </c>
      <c r="D66" s="25">
        <v>4.1916424761607027</v>
      </c>
      <c r="E66" s="25">
        <v>0</v>
      </c>
      <c r="F66" s="25">
        <v>0</v>
      </c>
      <c r="G66" s="25">
        <v>0</v>
      </c>
      <c r="H66" s="25">
        <v>0</v>
      </c>
      <c r="I66" s="25">
        <v>42.250865188106189</v>
      </c>
      <c r="J66" s="25">
        <v>33.116988003152478</v>
      </c>
      <c r="K66" s="25">
        <v>0.59253771244036457</v>
      </c>
      <c r="L66" s="25">
        <v>0.96767244134465147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2.0481659542234927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4.1654946535768689</v>
      </c>
      <c r="BE66" s="25">
        <v>2.1117260213603726</v>
      </c>
      <c r="BF66" s="25">
        <v>3.326597416705436</v>
      </c>
      <c r="BG66" s="25">
        <v>6.1134143686404636</v>
      </c>
      <c r="BH66" s="25">
        <v>2.3408315450180104</v>
      </c>
      <c r="BI66" s="25">
        <v>2.8725262404103162</v>
      </c>
      <c r="BJ66" s="25">
        <v>0.19757412429809321</v>
      </c>
      <c r="BK66" s="25">
        <v>0</v>
      </c>
      <c r="BL66" s="25">
        <v>0</v>
      </c>
      <c r="BM66" s="25">
        <v>0</v>
      </c>
      <c r="BN66" s="25">
        <v>0</v>
      </c>
      <c r="BO66" s="25">
        <v>8.8684704806467316</v>
      </c>
      <c r="BP66" s="25">
        <v>3.745544598649571</v>
      </c>
      <c r="BQ66" s="25">
        <v>2.6111162185080219</v>
      </c>
      <c r="BR66" s="25">
        <v>4.5006330669764729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1.0294623108541163</v>
      </c>
      <c r="BZ66" s="25">
        <v>8.5638001556842145</v>
      </c>
      <c r="CA66" s="25">
        <v>11.305094427125958</v>
      </c>
      <c r="CB66" s="25">
        <v>0</v>
      </c>
    </row>
    <row r="67" spans="1:80" ht="15.75" customHeight="1" x14ac:dyDescent="0.3">
      <c r="A67" s="30" t="s">
        <v>331</v>
      </c>
      <c r="B67" s="27">
        <v>0</v>
      </c>
      <c r="C67" s="27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25">
        <v>0</v>
      </c>
      <c r="BJ67" s="25">
        <v>0</v>
      </c>
      <c r="BK67" s="25">
        <v>14.743776716690022</v>
      </c>
      <c r="BL67" s="25">
        <v>11.293624288923185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  <c r="CA67" s="25">
        <v>0</v>
      </c>
      <c r="CB67" s="25">
        <v>0</v>
      </c>
    </row>
    <row r="68" spans="1:80" ht="15.75" customHeight="1" x14ac:dyDescent="0.3">
      <c r="A68" s="30" t="s">
        <v>332</v>
      </c>
      <c r="B68" s="27">
        <v>0</v>
      </c>
      <c r="C68" s="27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25">
        <v>0</v>
      </c>
      <c r="BK68" s="25">
        <v>200.06801624449966</v>
      </c>
      <c r="BL68" s="25">
        <v>376.4084116227998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  <c r="CA68" s="25">
        <v>0</v>
      </c>
      <c r="CB68" s="25">
        <v>0</v>
      </c>
    </row>
    <row r="69" spans="1:80" ht="15.75" customHeight="1" x14ac:dyDescent="0.3">
      <c r="A69" s="30" t="s">
        <v>329</v>
      </c>
      <c r="B69" s="27">
        <v>0</v>
      </c>
      <c r="C69" s="27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25">
        <v>2.6599760906668735</v>
      </c>
      <c r="BL69" s="25">
        <v>9.0982903427419881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  <c r="CA69" s="25">
        <v>0</v>
      </c>
      <c r="CB69" s="25">
        <v>0</v>
      </c>
    </row>
    <row r="70" spans="1:80" ht="15.75" customHeight="1" x14ac:dyDescent="0.3">
      <c r="A70" s="30" t="s">
        <v>330</v>
      </c>
      <c r="B70" s="27">
        <v>0</v>
      </c>
      <c r="C70" s="27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52.98943237047164</v>
      </c>
      <c r="BL70" s="25">
        <v>70.35546910674411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  <c r="CA70" s="25">
        <v>0</v>
      </c>
      <c r="CB70" s="25">
        <v>0</v>
      </c>
    </row>
    <row r="71" spans="1:80" ht="15.75" customHeight="1" x14ac:dyDescent="0.3">
      <c r="A71" s="30" t="s">
        <v>341</v>
      </c>
      <c r="B71" s="27">
        <v>0</v>
      </c>
      <c r="C71" s="27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6.7306244333067475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  <c r="CA71" s="25">
        <v>0</v>
      </c>
      <c r="CB71" s="25">
        <v>0</v>
      </c>
    </row>
    <row r="72" spans="1:80" ht="15.75" customHeight="1" x14ac:dyDescent="0.3">
      <c r="A72" s="30" t="s">
        <v>29</v>
      </c>
      <c r="B72" s="27">
        <v>0</v>
      </c>
      <c r="C72" s="27">
        <v>1.28</v>
      </c>
      <c r="D72" s="25">
        <v>0.59482592497868614</v>
      </c>
      <c r="E72" s="25">
        <v>0</v>
      </c>
      <c r="F72" s="25">
        <v>0</v>
      </c>
      <c r="G72" s="25">
        <v>0</v>
      </c>
      <c r="H72" s="25">
        <v>0</v>
      </c>
      <c r="I72" s="25">
        <v>5.9981925892358054</v>
      </c>
      <c r="J72" s="25">
        <v>13.316594745262568</v>
      </c>
      <c r="K72" s="25">
        <v>1.7304450114227532</v>
      </c>
      <c r="L72" s="25">
        <v>1.9271465227791784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1842.2214253212603</v>
      </c>
      <c r="BE72" s="25">
        <v>1023.3703373807424</v>
      </c>
      <c r="BF72" s="25">
        <v>1372.5634909412609</v>
      </c>
      <c r="BG72" s="25">
        <v>1385.552921723649</v>
      </c>
      <c r="BH72" s="25">
        <v>634.6797655080851</v>
      </c>
      <c r="BI72" s="25">
        <v>337.39554542094129</v>
      </c>
      <c r="BJ72" s="25">
        <v>31.541870765742413</v>
      </c>
      <c r="BK72" s="25">
        <v>0</v>
      </c>
      <c r="BL72" s="25">
        <v>0</v>
      </c>
      <c r="BM72" s="25">
        <v>0</v>
      </c>
      <c r="BN72" s="25">
        <v>0</v>
      </c>
      <c r="BO72" s="25">
        <v>7.5591776756088072</v>
      </c>
      <c r="BP72" s="25">
        <v>0</v>
      </c>
      <c r="BQ72" s="25">
        <v>0</v>
      </c>
      <c r="BR72" s="25">
        <v>18.183148767169694</v>
      </c>
      <c r="BS72" s="25">
        <v>0</v>
      </c>
      <c r="BT72" s="25">
        <v>0</v>
      </c>
      <c r="BU72" s="25">
        <v>7.8256264147717003</v>
      </c>
      <c r="BV72" s="25">
        <v>3.3146293540673422</v>
      </c>
      <c r="BW72" s="25">
        <v>2.8380977535555525</v>
      </c>
      <c r="BX72" s="25">
        <v>1.1416496977786375</v>
      </c>
      <c r="BY72" s="25">
        <v>3.0592440198569641</v>
      </c>
      <c r="BZ72" s="25">
        <v>6.2933908895247272</v>
      </c>
      <c r="CA72" s="25">
        <v>2.9818779083299063</v>
      </c>
      <c r="CB72" s="25">
        <v>2.047300483132656</v>
      </c>
    </row>
    <row r="73" spans="1:80" ht="15.75" customHeight="1" x14ac:dyDescent="0.3">
      <c r="A73" s="30" t="s">
        <v>301</v>
      </c>
      <c r="B73" s="27">
        <v>0</v>
      </c>
      <c r="C73" s="27">
        <v>0</v>
      </c>
      <c r="D73" s="25">
        <v>0</v>
      </c>
      <c r="E73" s="25">
        <v>5.0435691565747165</v>
      </c>
      <c r="F73" s="25">
        <v>5.8379382781924827</v>
      </c>
      <c r="G73" s="25">
        <v>12.047164330434398</v>
      </c>
      <c r="H73" s="25">
        <v>1.5215020894247708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  <c r="CA73" s="25">
        <v>0</v>
      </c>
      <c r="CB73" s="25">
        <v>0</v>
      </c>
    </row>
    <row r="74" spans="1:80" ht="15.75" customHeight="1" x14ac:dyDescent="0.3">
      <c r="A74" s="30" t="s">
        <v>342</v>
      </c>
      <c r="B74" s="27">
        <v>0</v>
      </c>
      <c r="C74" s="27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0.67849343180177879</v>
      </c>
      <c r="BL74" s="25">
        <v>0.84067668919317784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</row>
    <row r="75" spans="1:80" ht="15.75" customHeight="1" x14ac:dyDescent="0.3">
      <c r="A75" s="30" t="s">
        <v>343</v>
      </c>
      <c r="B75" s="27">
        <v>0</v>
      </c>
      <c r="C75" s="27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8.6348869754378672</v>
      </c>
      <c r="BL75" s="25">
        <v>8.3644519578112924</v>
      </c>
      <c r="BM75" s="25">
        <v>0</v>
      </c>
      <c r="BN75" s="25">
        <v>0</v>
      </c>
      <c r="BO75" s="25">
        <v>0</v>
      </c>
      <c r="BP75" s="25">
        <v>0</v>
      </c>
      <c r="BQ75" s="25">
        <v>0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  <c r="CA75" s="25">
        <v>0</v>
      </c>
      <c r="CB75" s="25">
        <v>0</v>
      </c>
    </row>
    <row r="76" spans="1:80" ht="15.75" customHeight="1" x14ac:dyDescent="0.3">
      <c r="A76" s="30" t="s">
        <v>344</v>
      </c>
      <c r="B76" s="27">
        <v>0</v>
      </c>
      <c r="C76" s="27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21.228880539616174</v>
      </c>
      <c r="BL76" s="25">
        <v>34.766081705235337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25">
        <v>0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  <c r="CA76" s="25">
        <v>0</v>
      </c>
      <c r="CB76" s="25">
        <v>0</v>
      </c>
    </row>
    <row r="77" spans="1:80" ht="15.75" customHeight="1" x14ac:dyDescent="0.3">
      <c r="A77" s="30" t="s">
        <v>302</v>
      </c>
      <c r="B77" s="27">
        <v>0</v>
      </c>
      <c r="C77" s="27">
        <v>0</v>
      </c>
      <c r="D77" s="25">
        <v>0</v>
      </c>
      <c r="E77" s="25">
        <v>0.98343977027092466</v>
      </c>
      <c r="F77" s="25">
        <v>2.5492317386805792</v>
      </c>
      <c r="G77" s="25">
        <v>70.08364531169326</v>
      </c>
      <c r="H77" s="25">
        <v>13.994275572905076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  <c r="CA77" s="25">
        <v>0</v>
      </c>
      <c r="CB77" s="25">
        <v>0</v>
      </c>
    </row>
    <row r="78" spans="1:80" ht="15.75" customHeight="1" x14ac:dyDescent="0.3">
      <c r="A78" s="30" t="s">
        <v>303</v>
      </c>
      <c r="B78" s="27">
        <v>0</v>
      </c>
      <c r="C78" s="27">
        <v>0</v>
      </c>
      <c r="D78" s="25">
        <v>0</v>
      </c>
      <c r="E78" s="25">
        <v>10.526332647466399</v>
      </c>
      <c r="F78" s="25">
        <v>13.501620181335275</v>
      </c>
      <c r="G78" s="25">
        <v>45.101204003970054</v>
      </c>
      <c r="H78" s="25">
        <v>21.060764148557372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</row>
    <row r="79" spans="1:80" ht="15.75" customHeight="1" x14ac:dyDescent="0.3">
      <c r="A79" s="30" t="s">
        <v>348</v>
      </c>
      <c r="B79" s="27">
        <v>0</v>
      </c>
      <c r="C79" s="27">
        <v>0</v>
      </c>
      <c r="D79" s="25">
        <v>0</v>
      </c>
      <c r="E79" s="25">
        <v>2.122890802304831</v>
      </c>
      <c r="F79" s="25">
        <v>0.98366239834494851</v>
      </c>
      <c r="G79" s="25">
        <v>7.8726956838015569</v>
      </c>
      <c r="H79" s="25">
        <v>1.8189397170718251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25">
        <v>0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  <c r="CA79" s="25">
        <v>0</v>
      </c>
      <c r="CB79" s="25">
        <v>0</v>
      </c>
    </row>
    <row r="80" spans="1:80" ht="15.75" customHeight="1" x14ac:dyDescent="0.3">
      <c r="A80" s="30" t="s">
        <v>304</v>
      </c>
      <c r="B80" s="27">
        <v>0</v>
      </c>
      <c r="C80" s="27">
        <v>0</v>
      </c>
      <c r="D80" s="25">
        <v>0</v>
      </c>
      <c r="E80" s="25">
        <v>6.4364758956022365</v>
      </c>
      <c r="F80" s="25">
        <v>1.9225741120945685</v>
      </c>
      <c r="G80" s="25">
        <v>9.1700573262225191</v>
      </c>
      <c r="H80" s="25">
        <v>13.703045759447713</v>
      </c>
      <c r="I80" s="25">
        <v>0</v>
      </c>
      <c r="J80" s="25">
        <v>0</v>
      </c>
      <c r="K80" s="25">
        <v>0</v>
      </c>
      <c r="L80" s="25">
        <v>0</v>
      </c>
      <c r="M80" s="25">
        <v>3.5227189606537785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9.344572240873747</v>
      </c>
      <c r="V80" s="25">
        <v>0</v>
      </c>
      <c r="W80" s="25">
        <v>0</v>
      </c>
      <c r="X80" s="25">
        <v>0</v>
      </c>
      <c r="Y80" s="25">
        <v>0</v>
      </c>
      <c r="Z80" s="25">
        <v>8.0799640574058955</v>
      </c>
      <c r="AA80" s="25">
        <v>17.612451501843442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5.7119877708481397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25">
        <v>0</v>
      </c>
      <c r="BW80" s="25">
        <v>0</v>
      </c>
      <c r="BX80" s="25">
        <v>0</v>
      </c>
      <c r="BY80" s="25">
        <v>1.2579727171223107</v>
      </c>
      <c r="BZ80" s="25">
        <v>3.8332818512918361</v>
      </c>
      <c r="CA80" s="25">
        <v>2.5658728780433329</v>
      </c>
      <c r="CB80" s="25">
        <v>6.6412102996149498</v>
      </c>
    </row>
    <row r="81" spans="1:80" ht="15.75" customHeight="1" x14ac:dyDescent="0.3">
      <c r="A81" s="30" t="s">
        <v>351</v>
      </c>
      <c r="B81" s="27">
        <v>0</v>
      </c>
      <c r="C81" s="27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1.521890806429069</v>
      </c>
      <c r="BL81" s="25">
        <v>0.32183787631602728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25">
        <v>0</v>
      </c>
      <c r="BX81" s="25">
        <v>0</v>
      </c>
      <c r="BY81" s="25">
        <v>0</v>
      </c>
      <c r="BZ81" s="25">
        <v>0</v>
      </c>
      <c r="CA81" s="25">
        <v>0</v>
      </c>
      <c r="CB81" s="25">
        <v>0</v>
      </c>
    </row>
    <row r="82" spans="1:80" ht="15.75" customHeight="1" x14ac:dyDescent="0.3">
      <c r="A82" s="30" t="s">
        <v>350</v>
      </c>
      <c r="B82" s="27">
        <v>0</v>
      </c>
      <c r="C82" s="27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1.2848032976673007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25">
        <v>0</v>
      </c>
      <c r="BY82" s="25">
        <v>0</v>
      </c>
      <c r="BZ82" s="25">
        <v>0</v>
      </c>
      <c r="CA82" s="25">
        <v>0</v>
      </c>
      <c r="CB82" s="25">
        <v>0</v>
      </c>
    </row>
    <row r="83" spans="1:80" ht="15.75" customHeight="1" x14ac:dyDescent="0.3">
      <c r="A83" s="30" t="s">
        <v>349</v>
      </c>
      <c r="B83" s="27">
        <v>0</v>
      </c>
      <c r="C83" s="27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3.6471968396641117</v>
      </c>
      <c r="BL83" s="25">
        <v>4.8565219530598744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</row>
    <row r="84" spans="1:80" ht="15.75" customHeight="1" x14ac:dyDescent="0.3">
      <c r="A84" s="30" t="s">
        <v>451</v>
      </c>
      <c r="B84" s="27">
        <v>0</v>
      </c>
      <c r="C84" s="27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8.6979385025495487E-2</v>
      </c>
      <c r="BA84" s="25">
        <v>8.6161893706622944E-2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25">
        <v>0</v>
      </c>
      <c r="CA84" s="25">
        <v>0</v>
      </c>
      <c r="CB84" s="25">
        <v>0</v>
      </c>
    </row>
    <row r="85" spans="1:80" ht="15.75" customHeight="1" x14ac:dyDescent="0.3">
      <c r="A85" s="30" t="s">
        <v>239</v>
      </c>
      <c r="B85" s="27">
        <v>0</v>
      </c>
      <c r="C85" s="27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2.1605250445124198</v>
      </c>
      <c r="J85" s="25">
        <v>0.43819199675181858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25">
        <v>0</v>
      </c>
      <c r="AZ85" s="25">
        <v>0</v>
      </c>
      <c r="BA85" s="25">
        <v>0</v>
      </c>
      <c r="BB85" s="25">
        <v>0.42979774034005647</v>
      </c>
      <c r="BC85" s="25">
        <v>8.1839804967995367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</row>
    <row r="86" spans="1:80" ht="15.75" customHeight="1" x14ac:dyDescent="0.3">
      <c r="A86" s="30" t="s">
        <v>305</v>
      </c>
      <c r="B86" s="27">
        <v>0</v>
      </c>
      <c r="C86" s="27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48.588263060995985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27.123408686529029</v>
      </c>
      <c r="V86" s="25">
        <v>0</v>
      </c>
      <c r="W86" s="25">
        <v>0</v>
      </c>
      <c r="X86" s="25">
        <v>0</v>
      </c>
      <c r="Y86" s="25">
        <v>0</v>
      </c>
      <c r="Z86" s="25">
        <v>6.3097928326264716</v>
      </c>
      <c r="AA86" s="25">
        <v>31.590323768704394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>
        <v>0</v>
      </c>
      <c r="AY86" s="25">
        <v>0</v>
      </c>
      <c r="AZ86" s="25">
        <v>0</v>
      </c>
      <c r="BA86" s="25">
        <v>0</v>
      </c>
      <c r="BB86" s="25">
        <v>0</v>
      </c>
      <c r="BC86" s="25">
        <v>0</v>
      </c>
      <c r="BD86" s="25">
        <v>0</v>
      </c>
      <c r="BE86" s="25">
        <v>0</v>
      </c>
      <c r="BF86" s="25">
        <v>0</v>
      </c>
      <c r="BG86" s="25">
        <v>0</v>
      </c>
      <c r="BH86" s="25">
        <v>0</v>
      </c>
      <c r="BI86" s="25">
        <v>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25">
        <v>0</v>
      </c>
      <c r="BT86" s="25">
        <v>0</v>
      </c>
      <c r="BU86" s="25">
        <v>0</v>
      </c>
      <c r="BV86" s="25">
        <v>0.88152982930654478</v>
      </c>
      <c r="BW86" s="25">
        <v>0</v>
      </c>
      <c r="BX86" s="25">
        <v>0</v>
      </c>
      <c r="BY86" s="25">
        <v>0</v>
      </c>
      <c r="BZ86" s="25">
        <v>0</v>
      </c>
      <c r="CA86" s="25">
        <v>0</v>
      </c>
      <c r="CB86" s="25">
        <v>0</v>
      </c>
    </row>
    <row r="87" spans="1:80" ht="15.75" customHeight="1" x14ac:dyDescent="0.3">
      <c r="A87" s="23" t="s">
        <v>452</v>
      </c>
      <c r="B87" s="8">
        <f t="shared" ref="B87:AG87" si="0">SUM(B2:B86)</f>
        <v>22.98</v>
      </c>
      <c r="C87" s="8">
        <f t="shared" si="0"/>
        <v>280.21000000000004</v>
      </c>
      <c r="D87" s="8">
        <f t="shared" si="0"/>
        <v>151.2766695125917</v>
      </c>
      <c r="E87" s="8">
        <f t="shared" si="0"/>
        <v>363.83376043643324</v>
      </c>
      <c r="F87" s="8">
        <f t="shared" si="0"/>
        <v>195.22980771009759</v>
      </c>
      <c r="G87" s="8">
        <f t="shared" si="0"/>
        <v>2617.3372651263385</v>
      </c>
      <c r="H87" s="8">
        <f t="shared" si="0"/>
        <v>788.57610483357905</v>
      </c>
      <c r="I87" s="8">
        <f t="shared" si="0"/>
        <v>1890.184212478671</v>
      </c>
      <c r="J87" s="8">
        <f t="shared" si="0"/>
        <v>2359.5427418448248</v>
      </c>
      <c r="K87" s="8">
        <f t="shared" si="0"/>
        <v>122.92318347404192</v>
      </c>
      <c r="L87" s="8">
        <f t="shared" si="0"/>
        <v>95.97122437623733</v>
      </c>
      <c r="M87" s="8">
        <f t="shared" si="0"/>
        <v>149.94528770637714</v>
      </c>
      <c r="N87" s="8">
        <f t="shared" si="0"/>
        <v>110.28636850496551</v>
      </c>
      <c r="O87" s="8">
        <f t="shared" si="0"/>
        <v>144.8832608538645</v>
      </c>
      <c r="P87" s="8">
        <f t="shared" si="0"/>
        <v>199.63396317421643</v>
      </c>
      <c r="Q87" s="8">
        <f t="shared" si="0"/>
        <v>401.51960142785265</v>
      </c>
      <c r="R87" s="8">
        <f t="shared" si="0"/>
        <v>327.70119224843887</v>
      </c>
      <c r="S87" s="8">
        <f t="shared" si="0"/>
        <v>308.70865992704034</v>
      </c>
      <c r="T87" s="8">
        <f t="shared" si="0"/>
        <v>203.02308389435581</v>
      </c>
      <c r="U87" s="8">
        <f t="shared" si="0"/>
        <v>46.357545959468609</v>
      </c>
      <c r="V87" s="8">
        <f t="shared" si="0"/>
        <v>453.11664050485115</v>
      </c>
      <c r="W87" s="8">
        <f t="shared" si="0"/>
        <v>230.05262255106152</v>
      </c>
      <c r="X87" s="8">
        <f t="shared" si="0"/>
        <v>31.587932832632927</v>
      </c>
      <c r="Y87" s="8">
        <f t="shared" si="0"/>
        <v>407.03625406932741</v>
      </c>
      <c r="Z87" s="8">
        <f t="shared" si="0"/>
        <v>868.75324228768773</v>
      </c>
      <c r="AA87" s="8">
        <f t="shared" si="0"/>
        <v>200.10847183038976</v>
      </c>
      <c r="AB87" s="8">
        <f t="shared" si="0"/>
        <v>74.823056129365654</v>
      </c>
      <c r="AC87" s="8">
        <f t="shared" si="0"/>
        <v>19.933119981239344</v>
      </c>
      <c r="AD87" s="8">
        <f t="shared" si="0"/>
        <v>526.65849016667892</v>
      </c>
      <c r="AE87" s="8">
        <f t="shared" si="0"/>
        <v>50.412935234176103</v>
      </c>
      <c r="AF87" s="8">
        <f t="shared" si="0"/>
        <v>22.418759137322141</v>
      </c>
      <c r="AG87" s="8">
        <f t="shared" si="0"/>
        <v>8.869940445808016</v>
      </c>
      <c r="AH87" s="8">
        <f t="shared" ref="AH87:BM87" si="1">SUM(AH2:AH86)</f>
        <v>86.752591403614971</v>
      </c>
      <c r="AI87" s="8">
        <f t="shared" si="1"/>
        <v>1931.0659542787428</v>
      </c>
      <c r="AJ87" s="8">
        <f t="shared" si="1"/>
        <v>458.23530358147332</v>
      </c>
      <c r="AK87" s="8">
        <f t="shared" si="1"/>
        <v>0</v>
      </c>
      <c r="AL87" s="8">
        <f t="shared" si="1"/>
        <v>0</v>
      </c>
      <c r="AM87" s="8">
        <f t="shared" si="1"/>
        <v>0</v>
      </c>
      <c r="AN87" s="8">
        <f t="shared" si="1"/>
        <v>0</v>
      </c>
      <c r="AO87" s="8">
        <f t="shared" si="1"/>
        <v>0</v>
      </c>
      <c r="AP87" s="8">
        <f t="shared" si="1"/>
        <v>0</v>
      </c>
      <c r="AQ87" s="8">
        <f t="shared" si="1"/>
        <v>0</v>
      </c>
      <c r="AR87" s="8">
        <f t="shared" si="1"/>
        <v>0</v>
      </c>
      <c r="AS87" s="8">
        <f t="shared" si="1"/>
        <v>0</v>
      </c>
      <c r="AT87" s="8">
        <f t="shared" si="1"/>
        <v>0</v>
      </c>
      <c r="AU87" s="8">
        <f t="shared" si="1"/>
        <v>0</v>
      </c>
      <c r="AV87" s="8">
        <f t="shared" si="1"/>
        <v>0</v>
      </c>
      <c r="AW87" s="8">
        <f t="shared" si="1"/>
        <v>0</v>
      </c>
      <c r="AX87" s="8">
        <f t="shared" si="1"/>
        <v>0</v>
      </c>
      <c r="AY87" s="8">
        <f t="shared" si="1"/>
        <v>0</v>
      </c>
      <c r="AZ87" s="8">
        <f t="shared" si="1"/>
        <v>8.6979385025495487E-2</v>
      </c>
      <c r="BA87" s="8">
        <f t="shared" si="1"/>
        <v>8.6161893706622944E-2</v>
      </c>
      <c r="BB87" s="8">
        <f t="shared" si="1"/>
        <v>0.42979774034005647</v>
      </c>
      <c r="BC87" s="8">
        <f t="shared" si="1"/>
        <v>8.1839804967995367</v>
      </c>
      <c r="BD87" s="8">
        <f t="shared" si="1"/>
        <v>4960.3259183855953</v>
      </c>
      <c r="BE87" s="8">
        <f t="shared" si="1"/>
        <v>3037.364565667312</v>
      </c>
      <c r="BF87" s="8">
        <f t="shared" si="1"/>
        <v>4370.2902011269389</v>
      </c>
      <c r="BG87" s="8">
        <f t="shared" si="1"/>
        <v>3615.0526944384383</v>
      </c>
      <c r="BH87" s="8">
        <f t="shared" si="1"/>
        <v>1901.7598361247674</v>
      </c>
      <c r="BI87" s="8">
        <f t="shared" si="1"/>
        <v>1248.3335310211078</v>
      </c>
      <c r="BJ87" s="8">
        <f t="shared" si="1"/>
        <v>249.95759856430544</v>
      </c>
      <c r="BK87" s="8">
        <f t="shared" si="1"/>
        <v>434.40970830145153</v>
      </c>
      <c r="BL87" s="8">
        <f t="shared" si="1"/>
        <v>698.69108150874297</v>
      </c>
      <c r="BM87" s="8">
        <f t="shared" si="1"/>
        <v>0</v>
      </c>
      <c r="BN87" s="8">
        <f t="shared" ref="BN87:CB87" si="2">SUM(BN2:BN86)</f>
        <v>0</v>
      </c>
      <c r="BO87" s="8">
        <f t="shared" si="2"/>
        <v>768.08003553894139</v>
      </c>
      <c r="BP87" s="8">
        <f t="shared" si="2"/>
        <v>3227.7621108286394</v>
      </c>
      <c r="BQ87" s="8">
        <f t="shared" si="2"/>
        <v>2161.3367601424475</v>
      </c>
      <c r="BR87" s="8">
        <f t="shared" si="2"/>
        <v>2740.4044423285991</v>
      </c>
      <c r="BS87" s="8">
        <f t="shared" si="2"/>
        <v>1199.0015346249329</v>
      </c>
      <c r="BT87" s="8">
        <f t="shared" si="2"/>
        <v>669.53686534671488</v>
      </c>
      <c r="BU87" s="8">
        <f t="shared" si="2"/>
        <v>478.11586991533187</v>
      </c>
      <c r="BV87" s="8">
        <f t="shared" si="2"/>
        <v>169.14722301624209</v>
      </c>
      <c r="BW87" s="8">
        <f t="shared" si="2"/>
        <v>3236.538617775173</v>
      </c>
      <c r="BX87" s="8">
        <f t="shared" si="2"/>
        <v>5736.4457397440747</v>
      </c>
      <c r="BY87" s="8">
        <f t="shared" si="2"/>
        <v>49.646411146073255</v>
      </c>
      <c r="BZ87" s="8">
        <f t="shared" si="2"/>
        <v>232.19783115060318</v>
      </c>
      <c r="CA87" s="8">
        <f t="shared" si="2"/>
        <v>140.82361369765889</v>
      </c>
      <c r="CB87" s="8">
        <f t="shared" si="2"/>
        <v>28.124056995157581</v>
      </c>
    </row>
    <row r="88" spans="1:80" ht="15.75" customHeight="1" x14ac:dyDescent="0.3">
      <c r="A88" s="7" t="s">
        <v>241</v>
      </c>
    </row>
  </sheetData>
  <phoneticPr fontId="3" type="noConversion"/>
  <conditionalFormatting sqref="A2:A84 A87:A88">
    <cfRule type="duplicateValues" dxfId="6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28"/>
  <sheetViews>
    <sheetView zoomScaleNormal="100" workbookViewId="0">
      <pane xSplit="1" ySplit="1" topLeftCell="BU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40.625" style="37" bestFit="1" customWidth="1"/>
    <col min="2" max="4" width="13.25" style="37" bestFit="1" customWidth="1"/>
    <col min="5" max="16" width="15" style="37" bestFit="1" customWidth="1"/>
    <col min="17" max="23" width="13.25" style="37" bestFit="1" customWidth="1"/>
    <col min="24" max="26" width="15" style="37" bestFit="1" customWidth="1"/>
    <col min="27" max="29" width="13.25" style="37" bestFit="1" customWidth="1"/>
    <col min="30" max="30" width="16.75" style="37" bestFit="1" customWidth="1"/>
    <col min="31" max="31" width="18.625" style="37" bestFit="1" customWidth="1"/>
    <col min="32" max="32" width="13.625" style="37" bestFit="1" customWidth="1"/>
    <col min="33" max="33" width="14.375" style="37" bestFit="1" customWidth="1"/>
    <col min="34" max="35" width="14.25" style="37" bestFit="1" customWidth="1"/>
    <col min="36" max="36" width="14.5" style="37" bestFit="1" customWidth="1"/>
    <col min="37" max="39" width="20.875" style="37" bestFit="1" customWidth="1"/>
    <col min="40" max="45" width="20.75" style="37" bestFit="1" customWidth="1"/>
    <col min="46" max="46" width="8.75" style="37" bestFit="1" customWidth="1"/>
    <col min="47" max="47" width="20.875" style="37" bestFit="1" customWidth="1"/>
    <col min="48" max="49" width="22" style="37" bestFit="1" customWidth="1"/>
    <col min="50" max="50" width="20.875" style="37" bestFit="1" customWidth="1"/>
    <col min="51" max="52" width="22" style="37" bestFit="1" customWidth="1"/>
    <col min="53" max="53" width="22.75" style="37" bestFit="1" customWidth="1"/>
    <col min="54" max="55" width="23.875" style="37" bestFit="1" customWidth="1"/>
    <col min="56" max="61" width="19.625" style="37" bestFit="1" customWidth="1"/>
    <col min="62" max="62" width="8.75" style="37" bestFit="1" customWidth="1"/>
    <col min="63" max="63" width="10.375" style="37" bestFit="1" customWidth="1"/>
    <col min="64" max="64" width="8.75" style="37" bestFit="1" customWidth="1"/>
    <col min="65" max="65" width="10.375" style="37" bestFit="1" customWidth="1"/>
    <col min="66" max="66" width="8.75" style="37" bestFit="1" customWidth="1"/>
    <col min="67" max="69" width="19.625" style="37" bestFit="1" customWidth="1"/>
    <col min="70" max="76" width="17.875" style="37" bestFit="1" customWidth="1"/>
    <col min="77" max="16384" width="9" style="37"/>
  </cols>
  <sheetData>
    <row r="1" spans="1:216" s="35" customFormat="1" ht="15.75" customHeight="1" x14ac:dyDescent="0.3">
      <c r="A1" s="3" t="s">
        <v>67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212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100</v>
      </c>
      <c r="X1" s="3" t="s">
        <v>101</v>
      </c>
      <c r="Y1" s="3" t="s">
        <v>102</v>
      </c>
      <c r="Z1" s="3" t="s">
        <v>103</v>
      </c>
      <c r="AA1" s="3" t="s">
        <v>104</v>
      </c>
      <c r="AB1" s="3" t="s">
        <v>105</v>
      </c>
      <c r="AC1" s="3" t="s">
        <v>106</v>
      </c>
      <c r="AD1" s="3" t="s">
        <v>107</v>
      </c>
      <c r="AE1" s="3" t="s">
        <v>108</v>
      </c>
      <c r="AF1" s="3" t="s">
        <v>109</v>
      </c>
      <c r="AG1" s="3" t="s">
        <v>110</v>
      </c>
      <c r="AH1" s="3" t="s">
        <v>111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 t="s">
        <v>118</v>
      </c>
      <c r="AP1" s="3" t="s">
        <v>119</v>
      </c>
      <c r="AQ1" s="3" t="s">
        <v>120</v>
      </c>
      <c r="AR1" s="3" t="s">
        <v>121</v>
      </c>
      <c r="AS1" s="3" t="s">
        <v>122</v>
      </c>
      <c r="AT1" s="3" t="s">
        <v>123</v>
      </c>
      <c r="AU1" s="3" t="s">
        <v>124</v>
      </c>
      <c r="AV1" s="3" t="s">
        <v>125</v>
      </c>
      <c r="AW1" s="3" t="s">
        <v>126</v>
      </c>
      <c r="AX1" s="3" t="s">
        <v>127</v>
      </c>
      <c r="AY1" s="3" t="s">
        <v>128</v>
      </c>
      <c r="AZ1" s="3" t="s">
        <v>129</v>
      </c>
      <c r="BA1" s="3" t="s">
        <v>130</v>
      </c>
      <c r="BB1" s="3" t="s">
        <v>131</v>
      </c>
      <c r="BC1" s="3" t="s">
        <v>132</v>
      </c>
      <c r="BD1" s="3" t="s">
        <v>133</v>
      </c>
      <c r="BE1" s="3" t="s">
        <v>134</v>
      </c>
      <c r="BF1" s="3" t="s">
        <v>135</v>
      </c>
      <c r="BG1" s="3" t="s">
        <v>136</v>
      </c>
      <c r="BH1" s="3" t="s">
        <v>137</v>
      </c>
      <c r="BI1" s="3" t="s">
        <v>138</v>
      </c>
      <c r="BJ1" s="3" t="s">
        <v>139</v>
      </c>
      <c r="BK1" s="3" t="s">
        <v>140</v>
      </c>
      <c r="BL1" s="3" t="s">
        <v>141</v>
      </c>
      <c r="BM1" s="3" t="s">
        <v>142</v>
      </c>
      <c r="BN1" s="3" t="s">
        <v>143</v>
      </c>
      <c r="BO1" s="3" t="s">
        <v>144</v>
      </c>
      <c r="BP1" s="3" t="s">
        <v>145</v>
      </c>
      <c r="BQ1" s="3" t="s">
        <v>146</v>
      </c>
      <c r="BR1" s="3" t="s">
        <v>147</v>
      </c>
      <c r="BS1" s="3" t="s">
        <v>148</v>
      </c>
      <c r="BT1" s="3" t="s">
        <v>149</v>
      </c>
      <c r="BU1" s="3" t="s">
        <v>150</v>
      </c>
      <c r="BV1" s="3" t="s">
        <v>151</v>
      </c>
      <c r="BW1" s="3" t="s">
        <v>152</v>
      </c>
      <c r="BX1" s="3" t="s">
        <v>153</v>
      </c>
      <c r="BY1" s="12"/>
      <c r="BZ1" s="12"/>
      <c r="CA1" s="12"/>
      <c r="CB1" s="12"/>
      <c r="CC1" s="12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</row>
    <row r="2" spans="1:216" ht="15.75" customHeight="1" x14ac:dyDescent="0.3">
      <c r="A2" s="11" t="s">
        <v>464</v>
      </c>
      <c r="B2" s="9">
        <v>0</v>
      </c>
      <c r="C2" s="9">
        <v>0</v>
      </c>
      <c r="D2" s="9">
        <v>0</v>
      </c>
      <c r="E2" s="9">
        <v>0</v>
      </c>
      <c r="F2" s="9">
        <v>0.97</v>
      </c>
      <c r="G2" s="9">
        <v>0.46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0.24</v>
      </c>
      <c r="O2" s="9">
        <v>1.28</v>
      </c>
      <c r="P2" s="9">
        <v>0.38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0.36211618481409752</v>
      </c>
      <c r="AL2" s="9">
        <v>4.9689293210506671</v>
      </c>
      <c r="AM2" s="9">
        <v>0.91062029857086424</v>
      </c>
      <c r="AN2" s="9">
        <v>0</v>
      </c>
      <c r="AO2" s="9">
        <v>4.8848411158566201</v>
      </c>
      <c r="AP2" s="9">
        <v>0.73458700855680004</v>
      </c>
      <c r="AQ2" s="9">
        <v>0</v>
      </c>
      <c r="AR2" s="9">
        <v>4.9222059494343</v>
      </c>
      <c r="AS2" s="9">
        <v>0.79854112257771837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6.8076446805831852</v>
      </c>
      <c r="BN2" s="9">
        <v>20.91821540797115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10"/>
      <c r="BZ2" s="10"/>
      <c r="CA2" s="10"/>
      <c r="CB2" s="10"/>
      <c r="CC2" s="10"/>
    </row>
    <row r="3" spans="1:216" ht="15.75" customHeight="1" x14ac:dyDescent="0.3">
      <c r="A3" s="11" t="s">
        <v>454</v>
      </c>
      <c r="B3" s="9">
        <v>0</v>
      </c>
      <c r="C3" s="9">
        <v>0.12</v>
      </c>
      <c r="D3" s="9">
        <v>0</v>
      </c>
      <c r="E3" s="9">
        <v>0.19</v>
      </c>
      <c r="F3" s="9">
        <v>2.78</v>
      </c>
      <c r="G3" s="9">
        <v>1.21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0.22</v>
      </c>
      <c r="O3" s="9">
        <v>1.98</v>
      </c>
      <c r="P3" s="9">
        <v>0.38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261.27242719940523</v>
      </c>
      <c r="AU3" s="9">
        <v>825.22119060047328</v>
      </c>
      <c r="AV3" s="9">
        <v>601.4981364385643</v>
      </c>
      <c r="AW3" s="9">
        <v>480.72699051358632</v>
      </c>
      <c r="AX3" s="9">
        <v>235.81059112691801</v>
      </c>
      <c r="AY3" s="9">
        <v>175.4289605446163</v>
      </c>
      <c r="AZ3" s="9">
        <v>130.87267659201862</v>
      </c>
      <c r="BA3" s="9">
        <v>521.21766733598895</v>
      </c>
      <c r="BB3" s="9">
        <v>467.54015163277836</v>
      </c>
      <c r="BC3" s="9">
        <v>455.76979089476004</v>
      </c>
      <c r="BD3" s="9">
        <v>134.79550651404554</v>
      </c>
      <c r="BE3" s="9">
        <v>108.48168213085101</v>
      </c>
      <c r="BF3" s="9">
        <v>81.031480979175441</v>
      </c>
      <c r="BG3" s="9">
        <v>14.26264558191952</v>
      </c>
      <c r="BH3" s="9">
        <v>61.914977069098512</v>
      </c>
      <c r="BI3" s="9">
        <v>40.943145747626929</v>
      </c>
      <c r="BJ3" s="9">
        <v>51.022058635198562</v>
      </c>
      <c r="BK3" s="9">
        <v>30.128510244596935</v>
      </c>
      <c r="BL3" s="9">
        <v>22.88351564463791</v>
      </c>
      <c r="BM3" s="9">
        <v>86.736663032918941</v>
      </c>
      <c r="BN3" s="9">
        <v>192.20801011545936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10"/>
      <c r="BZ3" s="10"/>
      <c r="CA3" s="10"/>
      <c r="CB3" s="10"/>
      <c r="CC3" s="10"/>
    </row>
    <row r="4" spans="1:216" ht="15.75" customHeight="1" x14ac:dyDescent="0.3">
      <c r="A4" s="11" t="s">
        <v>455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29.167417799863703</v>
      </c>
      <c r="AV4" s="9">
        <v>18.749959730335132</v>
      </c>
      <c r="AW4" s="9">
        <v>15.336851263336607</v>
      </c>
      <c r="AX4" s="9">
        <v>7.6961801405470807</v>
      </c>
      <c r="AY4" s="9">
        <v>4.0417307296301983</v>
      </c>
      <c r="AZ4" s="9">
        <v>5.0592658869742095</v>
      </c>
      <c r="BA4" s="9">
        <v>13.321162378687157</v>
      </c>
      <c r="BB4" s="9">
        <v>9.4306147185753542</v>
      </c>
      <c r="BC4" s="9">
        <v>15.25007373381758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10"/>
      <c r="BZ4" s="10"/>
      <c r="CA4" s="10"/>
      <c r="CB4" s="10"/>
      <c r="CC4" s="10"/>
    </row>
    <row r="5" spans="1:216" ht="15.75" customHeight="1" x14ac:dyDescent="0.3">
      <c r="A5" s="11" t="s">
        <v>456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0.95928129862862399</v>
      </c>
      <c r="BF5" s="9">
        <v>0</v>
      </c>
      <c r="BG5" s="9">
        <v>0.42482913883682355</v>
      </c>
      <c r="BH5" s="9">
        <v>0</v>
      </c>
      <c r="BI5" s="9">
        <v>0.69905563839692364</v>
      </c>
      <c r="BJ5" s="9">
        <v>2.7170881887262053</v>
      </c>
      <c r="BK5" s="9">
        <v>0</v>
      </c>
      <c r="BL5" s="9">
        <v>6.5315528979704354</v>
      </c>
      <c r="BM5" s="9">
        <v>13.214481167980201</v>
      </c>
      <c r="BN5" s="9">
        <v>19.031712999251294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10"/>
      <c r="BZ5" s="10"/>
      <c r="CA5" s="10"/>
      <c r="CB5" s="10"/>
      <c r="CC5" s="10"/>
    </row>
    <row r="6" spans="1:216" ht="15.75" customHeight="1" x14ac:dyDescent="0.3">
      <c r="A6" s="11" t="s">
        <v>457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9.4317046233337454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10"/>
      <c r="BZ6" s="10"/>
      <c r="CA6" s="10"/>
      <c r="CB6" s="10"/>
      <c r="CC6" s="10"/>
    </row>
    <row r="7" spans="1:216" ht="15.75" customHeight="1" x14ac:dyDescent="0.3">
      <c r="A7" s="11" t="s">
        <v>458</v>
      </c>
      <c r="B7" s="9">
        <v>0</v>
      </c>
      <c r="C7" s="9">
        <v>0</v>
      </c>
      <c r="D7" s="9">
        <v>0</v>
      </c>
      <c r="E7" s="9">
        <v>0</v>
      </c>
      <c r="F7" s="9">
        <v>4.3899999999999997</v>
      </c>
      <c r="G7" s="9">
        <v>2.21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0.11</v>
      </c>
      <c r="O7" s="9">
        <v>1.67</v>
      </c>
      <c r="P7" s="9">
        <v>0.52</v>
      </c>
      <c r="Q7" s="9">
        <v>0.74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0.76</v>
      </c>
      <c r="AB7" s="9">
        <v>0.99</v>
      </c>
      <c r="AC7" s="9">
        <v>1.07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27.953308977868147</v>
      </c>
      <c r="AU7" s="9">
        <v>111.04027740243123</v>
      </c>
      <c r="AV7" s="9">
        <v>74.157045211025476</v>
      </c>
      <c r="AW7" s="9">
        <v>58.913395010032112</v>
      </c>
      <c r="AX7" s="9">
        <v>32.959619108270026</v>
      </c>
      <c r="AY7" s="9">
        <v>22.258607218358367</v>
      </c>
      <c r="AZ7" s="9">
        <v>16.392194986290082</v>
      </c>
      <c r="BA7" s="9">
        <v>49.653792638326287</v>
      </c>
      <c r="BB7" s="9">
        <v>35.370149868064999</v>
      </c>
      <c r="BC7" s="9">
        <v>33.584813140072661</v>
      </c>
      <c r="BD7" s="9">
        <v>2.3667415160618712</v>
      </c>
      <c r="BE7" s="9">
        <v>10.877459704387809</v>
      </c>
      <c r="BF7" s="9">
        <v>1.0597292732047361</v>
      </c>
      <c r="BG7" s="9">
        <v>2.1112356843449032</v>
      </c>
      <c r="BH7" s="9">
        <v>0.59384186259464944</v>
      </c>
      <c r="BI7" s="9">
        <v>2.830054291704446</v>
      </c>
      <c r="BJ7" s="9">
        <v>2.4093280857922892</v>
      </c>
      <c r="BK7" s="9">
        <v>0</v>
      </c>
      <c r="BL7" s="9">
        <v>0</v>
      </c>
      <c r="BM7" s="9">
        <v>4.4724271211167919</v>
      </c>
      <c r="BN7" s="9">
        <v>5.2170563041356406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10"/>
      <c r="BZ7" s="10"/>
      <c r="CA7" s="10"/>
      <c r="CB7" s="10"/>
      <c r="CC7" s="10"/>
    </row>
    <row r="8" spans="1:216" ht="15.75" customHeight="1" x14ac:dyDescent="0.3">
      <c r="A8" s="11" t="s">
        <v>459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16.242851421011451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10"/>
      <c r="BZ8" s="10"/>
      <c r="CA8" s="10"/>
      <c r="CB8" s="10"/>
      <c r="CC8" s="10"/>
    </row>
    <row r="9" spans="1:216" ht="15.75" customHeight="1" x14ac:dyDescent="0.3">
      <c r="A9" s="11" t="s">
        <v>460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7.8207148621138387</v>
      </c>
      <c r="AY9" s="9">
        <v>11.887547453383016</v>
      </c>
      <c r="AZ9" s="9">
        <v>12.992979768717815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10"/>
      <c r="BZ9" s="10"/>
      <c r="CA9" s="10"/>
      <c r="CB9" s="10"/>
      <c r="CC9" s="10"/>
    </row>
    <row r="10" spans="1:216" ht="15.75" customHeight="1" x14ac:dyDescent="0.3">
      <c r="A10" s="11" t="s">
        <v>461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6.8117239093841819</v>
      </c>
      <c r="AY10" s="9">
        <v>10.50786909227805</v>
      </c>
      <c r="AZ10" s="9">
        <v>8.6368990834796957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10"/>
      <c r="BZ10" s="10"/>
      <c r="CA10" s="10"/>
      <c r="CB10" s="10"/>
      <c r="CC10" s="10"/>
    </row>
    <row r="11" spans="1:216" ht="15.75" customHeight="1" x14ac:dyDescent="0.3">
      <c r="A11" s="11" t="s">
        <v>462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18.79509883151831</v>
      </c>
      <c r="AY11" s="9">
        <v>23.847849263137267</v>
      </c>
      <c r="AZ11" s="9">
        <v>17.947207191203304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10"/>
      <c r="BZ11" s="10"/>
      <c r="CA11" s="10"/>
      <c r="CB11" s="10"/>
      <c r="CC11" s="10"/>
    </row>
    <row r="12" spans="1:216" ht="15.75" customHeight="1" x14ac:dyDescent="0.3">
      <c r="A12" s="11" t="s">
        <v>463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14.333545427471392</v>
      </c>
      <c r="AV12" s="9">
        <v>11.290877730521601</v>
      </c>
      <c r="AW12" s="9">
        <v>8.1569878578750714</v>
      </c>
      <c r="AX12" s="9">
        <v>17.03455636291979</v>
      </c>
      <c r="AY12" s="9">
        <v>17.629740110523873</v>
      </c>
      <c r="AZ12" s="9">
        <v>14.699150535235583</v>
      </c>
      <c r="BA12" s="9">
        <v>1.3327824035127536</v>
      </c>
      <c r="BB12" s="9">
        <v>0.9267059530542987</v>
      </c>
      <c r="BC12" s="9">
        <v>1.3188556318767299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10"/>
      <c r="BZ12" s="10"/>
      <c r="CA12" s="10"/>
      <c r="CB12" s="10"/>
      <c r="CC12" s="10"/>
    </row>
    <row r="13" spans="1:216" ht="15.75" customHeight="1" x14ac:dyDescent="0.3">
      <c r="A13" s="11" t="s">
        <v>439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2.2819475818847423</v>
      </c>
      <c r="BK13" s="9">
        <v>0</v>
      </c>
      <c r="BL13" s="9">
        <v>0</v>
      </c>
      <c r="BM13" s="9">
        <v>26.977272042269913</v>
      </c>
      <c r="BN13" s="9">
        <v>25.346138453677224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10"/>
      <c r="BZ13" s="10"/>
      <c r="CA13" s="10"/>
      <c r="CB13" s="10"/>
      <c r="CC13" s="10"/>
    </row>
    <row r="14" spans="1:216" ht="15.75" customHeight="1" x14ac:dyDescent="0.3">
      <c r="A14" s="11" t="s">
        <v>440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19.505057548768253</v>
      </c>
      <c r="AU14" s="9">
        <v>25.910557482851971</v>
      </c>
      <c r="AV14" s="9">
        <v>19.05662458999771</v>
      </c>
      <c r="AW14" s="9">
        <v>16.519418122424781</v>
      </c>
      <c r="AX14" s="9">
        <v>13.446613589256826</v>
      </c>
      <c r="AY14" s="9">
        <v>9.7433154555296912</v>
      </c>
      <c r="AZ14" s="9">
        <v>6.796883255063654</v>
      </c>
      <c r="BA14" s="9">
        <v>14.958529290537868</v>
      </c>
      <c r="BB14" s="9">
        <v>12.737368321841194</v>
      </c>
      <c r="BC14" s="9">
        <v>12.269648809788231</v>
      </c>
      <c r="BD14" s="9">
        <v>10.955346080880796</v>
      </c>
      <c r="BE14" s="9">
        <v>6.0200658916616829</v>
      </c>
      <c r="BF14" s="9">
        <v>6.9311213882182932</v>
      </c>
      <c r="BG14" s="9">
        <v>1.6898892243232944</v>
      </c>
      <c r="BH14" s="9">
        <v>2.6261282333222247</v>
      </c>
      <c r="BI14" s="9">
        <v>1.1361952719687587</v>
      </c>
      <c r="BJ14" s="9">
        <v>11.647390832928167</v>
      </c>
      <c r="BK14" s="9">
        <v>0.74340555210562387</v>
      </c>
      <c r="BL14" s="9">
        <v>2.6016909660160343</v>
      </c>
      <c r="BM14" s="9">
        <v>135.39971484439968</v>
      </c>
      <c r="BN14" s="9">
        <v>221.42273522968981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10"/>
      <c r="BZ14" s="10"/>
      <c r="CA14" s="10"/>
      <c r="CB14" s="10"/>
      <c r="CC14" s="10"/>
    </row>
    <row r="15" spans="1:216" ht="15.75" customHeight="1" x14ac:dyDescent="0.3">
      <c r="A15" s="11" t="s">
        <v>493</v>
      </c>
      <c r="B15" s="9">
        <v>0</v>
      </c>
      <c r="C15" s="9">
        <v>0</v>
      </c>
      <c r="D15" s="9">
        <v>0</v>
      </c>
      <c r="E15" s="9">
        <v>0</v>
      </c>
      <c r="F15" s="9">
        <v>2.4700000000000002</v>
      </c>
      <c r="G15" s="9">
        <v>1.36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0.37</v>
      </c>
      <c r="O15" s="9">
        <v>2.85</v>
      </c>
      <c r="P15" s="9">
        <v>0.53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10"/>
      <c r="BZ15" s="10"/>
      <c r="CA15" s="10"/>
      <c r="CB15" s="10"/>
      <c r="CC15" s="10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</row>
    <row r="16" spans="1:216" ht="15.75" customHeight="1" x14ac:dyDescent="0.3">
      <c r="A16" s="11" t="s">
        <v>465</v>
      </c>
      <c r="B16" s="9">
        <v>0</v>
      </c>
      <c r="C16" s="9">
        <v>0</v>
      </c>
      <c r="D16" s="9">
        <v>0</v>
      </c>
      <c r="E16" s="9">
        <v>0</v>
      </c>
      <c r="F16" s="9">
        <v>2.04</v>
      </c>
      <c r="G16" s="9">
        <v>0.88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0.21</v>
      </c>
      <c r="O16" s="9">
        <v>2.21</v>
      </c>
      <c r="P16" s="9">
        <v>0.3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12.136408107671734</v>
      </c>
      <c r="AV16" s="9">
        <v>12.033390143599254</v>
      </c>
      <c r="AW16" s="9">
        <v>10.718903779930008</v>
      </c>
      <c r="AX16" s="9">
        <v>4.5834775531767669</v>
      </c>
      <c r="AY16" s="9">
        <v>3.7077630284296093</v>
      </c>
      <c r="AZ16" s="9">
        <v>4.4446935469991571</v>
      </c>
      <c r="BA16" s="9">
        <v>6.5518446770072076</v>
      </c>
      <c r="BB16" s="9">
        <v>6.5566779723225137</v>
      </c>
      <c r="BC16" s="9">
        <v>7.0583058958536737</v>
      </c>
      <c r="BD16" s="9">
        <v>1.080274727451491</v>
      </c>
      <c r="BE16" s="9">
        <v>1.935423245443135</v>
      </c>
      <c r="BF16" s="9">
        <v>2.0226820856308074</v>
      </c>
      <c r="BG16" s="9">
        <v>0.43135964669231264</v>
      </c>
      <c r="BH16" s="9">
        <v>0.98287179663767932</v>
      </c>
      <c r="BI16" s="9">
        <v>1.2143301534847608</v>
      </c>
      <c r="BJ16" s="9">
        <v>5.7469745083274999</v>
      </c>
      <c r="BK16" s="9">
        <v>0</v>
      </c>
      <c r="BL16" s="9">
        <v>4.2009679837132028</v>
      </c>
      <c r="BM16" s="9">
        <v>2.8591219807639519</v>
      </c>
      <c r="BN16" s="9">
        <v>16.773160669079008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10"/>
      <c r="BZ16" s="10"/>
      <c r="CA16" s="10"/>
      <c r="CB16" s="10"/>
      <c r="CC16" s="10"/>
    </row>
    <row r="17" spans="1:81" ht="15.75" customHeight="1" x14ac:dyDescent="0.3">
      <c r="A17" s="11" t="s">
        <v>466</v>
      </c>
      <c r="B17" s="9">
        <v>0</v>
      </c>
      <c r="C17" s="9">
        <v>0</v>
      </c>
      <c r="D17" s="9">
        <v>0</v>
      </c>
      <c r="E17" s="9">
        <v>0</v>
      </c>
      <c r="F17" s="9">
        <v>3.59</v>
      </c>
      <c r="G17" s="9">
        <v>1.48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0.24</v>
      </c>
      <c r="O17" s="9">
        <v>1.79</v>
      </c>
      <c r="P17" s="9">
        <v>0.52</v>
      </c>
      <c r="Q17" s="9">
        <v>0.49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0.3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10"/>
      <c r="BZ17" s="10"/>
      <c r="CA17" s="10"/>
      <c r="CB17" s="10"/>
      <c r="CC17" s="10"/>
    </row>
    <row r="18" spans="1:81" ht="15.75" customHeight="1" x14ac:dyDescent="0.3">
      <c r="A18" s="11" t="s">
        <v>444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0.71848932892434869</v>
      </c>
      <c r="BF18" s="9">
        <v>0</v>
      </c>
      <c r="BG18" s="9">
        <v>0</v>
      </c>
      <c r="BH18" s="9">
        <v>0</v>
      </c>
      <c r="BI18" s="9">
        <v>0</v>
      </c>
      <c r="BJ18" s="9">
        <v>1.4019969532173608</v>
      </c>
      <c r="BK18" s="9">
        <v>0</v>
      </c>
      <c r="BL18" s="9">
        <v>0.89799864533495732</v>
      </c>
      <c r="BM18" s="9">
        <v>7.6607162693148005</v>
      </c>
      <c r="BN18" s="9">
        <v>1.6664387157549445</v>
      </c>
      <c r="BO18" s="9">
        <v>13.17</v>
      </c>
      <c r="BP18" s="9">
        <v>7.19</v>
      </c>
      <c r="BQ18" s="9">
        <v>9.1</v>
      </c>
      <c r="BR18" s="9">
        <v>7.02</v>
      </c>
      <c r="BS18" s="9">
        <v>3.84</v>
      </c>
      <c r="BT18" s="9">
        <v>7.57</v>
      </c>
      <c r="BU18" s="9">
        <v>0</v>
      </c>
      <c r="BV18" s="9">
        <v>13.86</v>
      </c>
      <c r="BW18" s="9">
        <v>2.09</v>
      </c>
      <c r="BX18" s="9">
        <v>12.3</v>
      </c>
      <c r="BY18" s="10"/>
      <c r="BZ18" s="10"/>
      <c r="CA18" s="10"/>
      <c r="CB18" s="10"/>
      <c r="CC18" s="10"/>
    </row>
    <row r="19" spans="1:81" ht="15.75" customHeight="1" x14ac:dyDescent="0.3">
      <c r="A19" s="11" t="s">
        <v>467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7.1336601018290411</v>
      </c>
      <c r="BN19" s="9">
        <v>21.390029827445744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10"/>
      <c r="BZ19" s="10"/>
      <c r="CA19" s="10"/>
      <c r="CB19" s="10"/>
      <c r="CC19" s="10"/>
    </row>
    <row r="20" spans="1:81" ht="15.75" customHeight="1" x14ac:dyDescent="0.3">
      <c r="A20" s="11" t="s">
        <v>468</v>
      </c>
      <c r="B20" s="9">
        <v>0</v>
      </c>
      <c r="C20" s="9">
        <v>0</v>
      </c>
      <c r="D20" s="9">
        <v>0</v>
      </c>
      <c r="E20" s="9">
        <v>1.05</v>
      </c>
      <c r="F20" s="9">
        <v>11.78</v>
      </c>
      <c r="G20" s="9">
        <v>4.83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3.11</v>
      </c>
      <c r="O20" s="9">
        <v>21.89</v>
      </c>
      <c r="P20" s="9">
        <v>5.56</v>
      </c>
      <c r="Q20" s="9">
        <v>0.52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0.63</v>
      </c>
      <c r="AC20" s="9">
        <v>0.28000000000000003</v>
      </c>
      <c r="AD20" s="9">
        <v>0</v>
      </c>
      <c r="AE20" s="9">
        <v>0</v>
      </c>
      <c r="AF20" s="9">
        <v>3.69</v>
      </c>
      <c r="AG20" s="9">
        <v>0</v>
      </c>
      <c r="AH20" s="9">
        <v>0</v>
      </c>
      <c r="AI20" s="9">
        <v>0</v>
      </c>
      <c r="AJ20" s="9">
        <v>0</v>
      </c>
      <c r="AK20" s="9">
        <v>25.959646791309194</v>
      </c>
      <c r="AL20" s="9">
        <v>66.997919826829175</v>
      </c>
      <c r="AM20" s="9">
        <v>35.985844217289561</v>
      </c>
      <c r="AN20" s="9">
        <v>19.891259315673796</v>
      </c>
      <c r="AO20" s="9">
        <v>85.32486048019517</v>
      </c>
      <c r="AP20" s="9">
        <v>28.728837632143524</v>
      </c>
      <c r="AQ20" s="9">
        <v>20.500361934038473</v>
      </c>
      <c r="AR20" s="9">
        <v>86.843288266471461</v>
      </c>
      <c r="AS20" s="9">
        <v>33.335961438759341</v>
      </c>
      <c r="AT20" s="9">
        <v>484.03676247861284</v>
      </c>
      <c r="AU20" s="9">
        <v>100.86598310255164</v>
      </c>
      <c r="AV20" s="9">
        <v>65.555668807071754</v>
      </c>
      <c r="AW20" s="9">
        <v>57.107696173773455</v>
      </c>
      <c r="AX20" s="9">
        <v>120.15104073232494</v>
      </c>
      <c r="AY20" s="9">
        <v>97.356188820193324</v>
      </c>
      <c r="AZ20" s="9">
        <v>88.392054900204698</v>
      </c>
      <c r="BA20" s="9">
        <v>113.82117926555458</v>
      </c>
      <c r="BB20" s="9">
        <v>85.253738635775932</v>
      </c>
      <c r="BC20" s="9">
        <v>84.5484586708004</v>
      </c>
      <c r="BD20" s="9">
        <v>141.07939705842469</v>
      </c>
      <c r="BE20" s="9">
        <v>312.48906978881973</v>
      </c>
      <c r="BF20" s="9">
        <v>109.04018618458478</v>
      </c>
      <c r="BG20" s="9">
        <v>72.147970104167612</v>
      </c>
      <c r="BH20" s="9">
        <v>17.865726591942593</v>
      </c>
      <c r="BI20" s="9">
        <v>72.405010383212925</v>
      </c>
      <c r="BJ20" s="9">
        <v>2.0693666523319121</v>
      </c>
      <c r="BK20" s="9">
        <v>2.1422718461447148</v>
      </c>
      <c r="BL20" s="9">
        <v>0</v>
      </c>
      <c r="BM20" s="9">
        <v>20.19558425027245</v>
      </c>
      <c r="BN20" s="9">
        <v>44.268018814493246</v>
      </c>
      <c r="BO20" s="9">
        <v>21.02</v>
      </c>
      <c r="BP20" s="9">
        <v>12.57</v>
      </c>
      <c r="BQ20" s="9">
        <v>19.59</v>
      </c>
      <c r="BR20" s="9">
        <v>129.04</v>
      </c>
      <c r="BS20" s="9">
        <v>101.94</v>
      </c>
      <c r="BT20" s="9">
        <v>133.81</v>
      </c>
      <c r="BU20" s="9">
        <v>50.26</v>
      </c>
      <c r="BV20" s="9">
        <v>58.99</v>
      </c>
      <c r="BW20" s="9">
        <v>15.51</v>
      </c>
      <c r="BX20" s="9">
        <v>50.6</v>
      </c>
      <c r="BY20" s="10"/>
      <c r="BZ20" s="10"/>
      <c r="CA20" s="10"/>
      <c r="CB20" s="10"/>
      <c r="CC20" s="10"/>
    </row>
    <row r="21" spans="1:81" ht="15.75" customHeight="1" x14ac:dyDescent="0.3">
      <c r="A21" s="11" t="s">
        <v>447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10.039999999999999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0.39</v>
      </c>
      <c r="BP21" s="9">
        <v>0</v>
      </c>
      <c r="BQ21" s="9">
        <v>0.23</v>
      </c>
      <c r="BR21" s="9">
        <v>1.92</v>
      </c>
      <c r="BS21" s="9">
        <v>4.0599999999999996</v>
      </c>
      <c r="BT21" s="9">
        <v>2.72</v>
      </c>
      <c r="BU21" s="9">
        <v>0</v>
      </c>
      <c r="BV21" s="9">
        <v>0.3</v>
      </c>
      <c r="BW21" s="9">
        <v>0</v>
      </c>
      <c r="BX21" s="9">
        <v>0.36</v>
      </c>
      <c r="BY21" s="10"/>
      <c r="BZ21" s="10"/>
      <c r="CA21" s="10"/>
      <c r="CB21" s="10"/>
      <c r="CC21" s="10"/>
    </row>
    <row r="22" spans="1:81" ht="15.75" customHeight="1" x14ac:dyDescent="0.3">
      <c r="A22" s="11" t="s">
        <v>470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9.74</v>
      </c>
      <c r="AG22" s="9">
        <v>6.66</v>
      </c>
      <c r="AH22" s="9">
        <v>2.4</v>
      </c>
      <c r="AI22" s="9">
        <v>1</v>
      </c>
      <c r="AJ22" s="9">
        <v>2.74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10"/>
      <c r="BZ22" s="10"/>
      <c r="CA22" s="10"/>
      <c r="CB22" s="10"/>
      <c r="CC22" s="10"/>
    </row>
    <row r="23" spans="1:81" ht="15.75" customHeight="1" x14ac:dyDescent="0.3">
      <c r="A23" s="11" t="s">
        <v>469</v>
      </c>
      <c r="B23" s="9">
        <v>0</v>
      </c>
      <c r="C23" s="9">
        <v>0</v>
      </c>
      <c r="D23" s="9">
        <v>0</v>
      </c>
      <c r="E23" s="9">
        <v>0</v>
      </c>
      <c r="F23" s="9">
        <v>2.58</v>
      </c>
      <c r="G23" s="9">
        <v>1.1599999999999999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0.56999999999999995</v>
      </c>
      <c r="O23" s="9">
        <v>3.65</v>
      </c>
      <c r="P23" s="9">
        <v>0.84</v>
      </c>
      <c r="Q23" s="9">
        <v>0.43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0.2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10"/>
      <c r="BZ23" s="10"/>
      <c r="CA23" s="10"/>
      <c r="CB23" s="10"/>
      <c r="CC23" s="10"/>
    </row>
    <row r="24" spans="1:81" ht="15.75" customHeight="1" x14ac:dyDescent="0.3">
      <c r="A24" s="11" t="s">
        <v>450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23.91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0.7</v>
      </c>
      <c r="BP24" s="9">
        <v>1.01</v>
      </c>
      <c r="BQ24" s="9">
        <v>0.64</v>
      </c>
      <c r="BR24" s="9">
        <v>3.17</v>
      </c>
      <c r="BS24" s="9">
        <v>1.98</v>
      </c>
      <c r="BT24" s="9">
        <v>2.75</v>
      </c>
      <c r="BU24" s="9">
        <v>0</v>
      </c>
      <c r="BV24" s="9">
        <v>2.2799999999999998</v>
      </c>
      <c r="BW24" s="9">
        <v>0.41</v>
      </c>
      <c r="BX24" s="9">
        <v>1.71</v>
      </c>
      <c r="BY24" s="10"/>
      <c r="BZ24" s="10"/>
      <c r="CA24" s="10"/>
      <c r="CB24" s="10"/>
      <c r="CC24" s="10"/>
    </row>
    <row r="25" spans="1:81" ht="15.75" customHeight="1" x14ac:dyDescent="0.3">
      <c r="A25" s="11" t="s">
        <v>399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1.4801333429046373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15.589216102842068</v>
      </c>
      <c r="BN25" s="9">
        <v>5.5333977798003202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10"/>
      <c r="BZ25" s="10"/>
      <c r="CA25" s="10"/>
      <c r="CB25" s="10"/>
      <c r="CC25" s="10"/>
    </row>
    <row r="26" spans="1:81" ht="15.75" customHeight="1" x14ac:dyDescent="0.3">
      <c r="A26" s="11" t="s">
        <v>453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197.24461053398053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</row>
    <row r="27" spans="1:81" ht="15.75" customHeight="1" x14ac:dyDescent="0.3">
      <c r="A27" s="3" t="s">
        <v>68</v>
      </c>
      <c r="B27" s="8">
        <f t="shared" ref="B27:AG27" si="0">SUM(B2:B26)</f>
        <v>0</v>
      </c>
      <c r="C27" s="8">
        <f>SUM(C2:C26)</f>
        <v>0.12</v>
      </c>
      <c r="D27" s="8">
        <f t="shared" si="0"/>
        <v>0</v>
      </c>
      <c r="E27" s="8">
        <f t="shared" si="0"/>
        <v>1.24</v>
      </c>
      <c r="F27" s="8">
        <f t="shared" si="0"/>
        <v>30.6</v>
      </c>
      <c r="G27" s="8">
        <f t="shared" si="0"/>
        <v>13.59</v>
      </c>
      <c r="H27" s="8">
        <f t="shared" si="0"/>
        <v>0</v>
      </c>
      <c r="I27" s="8">
        <f t="shared" si="0"/>
        <v>0</v>
      </c>
      <c r="J27" s="8">
        <f t="shared" si="0"/>
        <v>0</v>
      </c>
      <c r="K27" s="8">
        <f t="shared" si="0"/>
        <v>0</v>
      </c>
      <c r="L27" s="8">
        <f t="shared" si="0"/>
        <v>0</v>
      </c>
      <c r="M27" s="8">
        <f t="shared" si="0"/>
        <v>0</v>
      </c>
      <c r="N27" s="8">
        <f>SUM(N2:N26)</f>
        <v>5.07</v>
      </c>
      <c r="O27" s="8">
        <f t="shared" si="0"/>
        <v>37.32</v>
      </c>
      <c r="P27" s="8">
        <f t="shared" si="0"/>
        <v>9.0299999999999994</v>
      </c>
      <c r="Q27" s="8">
        <f t="shared" si="0"/>
        <v>2.1800000000000002</v>
      </c>
      <c r="R27" s="8">
        <f t="shared" si="0"/>
        <v>0</v>
      </c>
      <c r="S27" s="8">
        <f t="shared" si="0"/>
        <v>0</v>
      </c>
      <c r="T27" s="8">
        <f t="shared" si="0"/>
        <v>0</v>
      </c>
      <c r="U27" s="8">
        <f t="shared" si="0"/>
        <v>0</v>
      </c>
      <c r="V27" s="8">
        <f t="shared" si="0"/>
        <v>0</v>
      </c>
      <c r="W27" s="8">
        <f t="shared" si="0"/>
        <v>0</v>
      </c>
      <c r="X27" s="8">
        <f t="shared" si="0"/>
        <v>0</v>
      </c>
      <c r="Y27" s="8">
        <f t="shared" si="0"/>
        <v>0</v>
      </c>
      <c r="Z27" s="8">
        <f t="shared" si="0"/>
        <v>0</v>
      </c>
      <c r="AA27" s="8">
        <f t="shared" si="0"/>
        <v>0.76</v>
      </c>
      <c r="AB27" s="8">
        <f t="shared" si="0"/>
        <v>2.12</v>
      </c>
      <c r="AC27" s="8">
        <f t="shared" si="0"/>
        <v>1.35</v>
      </c>
      <c r="AD27" s="8">
        <f t="shared" si="0"/>
        <v>0</v>
      </c>
      <c r="AE27" s="8">
        <f t="shared" si="0"/>
        <v>0</v>
      </c>
      <c r="AF27" s="8">
        <f t="shared" si="0"/>
        <v>47.379999999999995</v>
      </c>
      <c r="AG27" s="8">
        <f t="shared" si="0"/>
        <v>6.66</v>
      </c>
      <c r="AH27" s="8">
        <f t="shared" ref="AH27:BM27" si="1">SUM(AH2:AH26)</f>
        <v>2.4</v>
      </c>
      <c r="AI27" s="8">
        <f>SUM(AI2:AI26)</f>
        <v>1</v>
      </c>
      <c r="AJ27" s="8">
        <f t="shared" si="1"/>
        <v>2.74</v>
      </c>
      <c r="AK27" s="8">
        <f t="shared" si="1"/>
        <v>26.321762976123292</v>
      </c>
      <c r="AL27" s="8">
        <f t="shared" si="1"/>
        <v>71.966849147879842</v>
      </c>
      <c r="AM27" s="8">
        <f t="shared" si="1"/>
        <v>36.896464515860423</v>
      </c>
      <c r="AN27" s="8">
        <f t="shared" si="1"/>
        <v>19.891259315673796</v>
      </c>
      <c r="AO27" s="8">
        <f t="shared" si="1"/>
        <v>90.209701596051787</v>
      </c>
      <c r="AP27" s="8">
        <f t="shared" si="1"/>
        <v>29.463424640700325</v>
      </c>
      <c r="AQ27" s="8">
        <f t="shared" si="1"/>
        <v>20.500361934038473</v>
      </c>
      <c r="AR27" s="8">
        <f t="shared" si="1"/>
        <v>91.765494215905761</v>
      </c>
      <c r="AS27" s="8">
        <f t="shared" si="1"/>
        <v>34.134502561337058</v>
      </c>
      <c r="AT27" s="8">
        <f t="shared" si="1"/>
        <v>1015.6867227829802</v>
      </c>
      <c r="AU27" s="8">
        <f t="shared" si="1"/>
        <v>1118.6753799233149</v>
      </c>
      <c r="AV27" s="8">
        <f t="shared" si="1"/>
        <v>802.34170265111516</v>
      </c>
      <c r="AW27" s="8">
        <f t="shared" si="1"/>
        <v>647.48024272095824</v>
      </c>
      <c r="AX27" s="8">
        <f t="shared" si="1"/>
        <v>465.10961621642969</v>
      </c>
      <c r="AY27" s="8">
        <f t="shared" si="1"/>
        <v>376.40957171607971</v>
      </c>
      <c r="AZ27" s="8">
        <f t="shared" si="1"/>
        <v>306.23400574618688</v>
      </c>
      <c r="BA27" s="8">
        <f t="shared" si="1"/>
        <v>720.85695798961478</v>
      </c>
      <c r="BB27" s="8">
        <f t="shared" si="1"/>
        <v>617.81540710241268</v>
      </c>
      <c r="BC27" s="8">
        <f t="shared" si="1"/>
        <v>609.79994677696925</v>
      </c>
      <c r="BD27" s="8">
        <f t="shared" si="1"/>
        <v>291.75739923976903</v>
      </c>
      <c r="BE27" s="8">
        <f t="shared" si="1"/>
        <v>441.48147138871633</v>
      </c>
      <c r="BF27" s="8">
        <f t="shared" si="1"/>
        <v>200.08519991081405</v>
      </c>
      <c r="BG27" s="8">
        <f t="shared" si="1"/>
        <v>91.067929380284468</v>
      </c>
      <c r="BH27" s="8">
        <f t="shared" si="1"/>
        <v>83.983545553595661</v>
      </c>
      <c r="BI27" s="8">
        <f t="shared" si="1"/>
        <v>119.22779148639475</v>
      </c>
      <c r="BJ27" s="8">
        <f t="shared" si="1"/>
        <v>79.296151438406739</v>
      </c>
      <c r="BK27" s="8">
        <f t="shared" si="1"/>
        <v>33.014187642847276</v>
      </c>
      <c r="BL27" s="8">
        <f t="shared" si="1"/>
        <v>37.115726137672546</v>
      </c>
      <c r="BM27" s="8">
        <f t="shared" si="1"/>
        <v>327.04650159429099</v>
      </c>
      <c r="BN27" s="8">
        <f>SUM(BN2:BN26)</f>
        <v>573.77491431675764</v>
      </c>
      <c r="BO27" s="8">
        <f t="shared" ref="BO27:BX27" si="2">SUM(BO2:BO26)</f>
        <v>35.28</v>
      </c>
      <c r="BP27" s="8">
        <f t="shared" si="2"/>
        <v>20.770000000000003</v>
      </c>
      <c r="BQ27" s="8">
        <f t="shared" si="2"/>
        <v>29.56</v>
      </c>
      <c r="BR27" s="8">
        <f t="shared" si="2"/>
        <v>141.14999999999998</v>
      </c>
      <c r="BS27" s="8">
        <f t="shared" si="2"/>
        <v>111.82000000000001</v>
      </c>
      <c r="BT27" s="8">
        <f t="shared" si="2"/>
        <v>146.85</v>
      </c>
      <c r="BU27" s="8">
        <f t="shared" si="2"/>
        <v>50.26</v>
      </c>
      <c r="BV27" s="8">
        <f t="shared" si="2"/>
        <v>75.429999999999993</v>
      </c>
      <c r="BW27" s="8">
        <f t="shared" si="2"/>
        <v>18.010000000000002</v>
      </c>
      <c r="BX27" s="8">
        <f t="shared" si="2"/>
        <v>64.97</v>
      </c>
    </row>
    <row r="28" spans="1:81" ht="15.75" customHeight="1" x14ac:dyDescent="0.3">
      <c r="A28" s="7" t="s">
        <v>241</v>
      </c>
    </row>
  </sheetData>
  <phoneticPr fontId="3" type="noConversion"/>
  <conditionalFormatting sqref="A2:A25 A28">
    <cfRule type="duplicateValues" dxfId="5" priority="2"/>
  </conditionalFormatting>
  <conditionalFormatting sqref="A26:A27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61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64.875" style="37" bestFit="1" customWidth="1"/>
    <col min="2" max="2" width="10" style="37" bestFit="1" customWidth="1"/>
    <col min="3" max="4" width="11.625" style="37" bestFit="1" customWidth="1"/>
    <col min="5" max="6" width="12.625" style="37" bestFit="1" customWidth="1"/>
    <col min="7" max="7" width="15" style="37" bestFit="1" customWidth="1"/>
    <col min="8" max="8" width="10" style="37" bestFit="1" customWidth="1"/>
    <col min="9" max="9" width="13.25" style="37" bestFit="1" customWidth="1"/>
    <col min="10" max="10" width="11.625" style="37" bestFit="1" customWidth="1"/>
    <col min="11" max="11" width="13.25" style="37" bestFit="1" customWidth="1"/>
    <col min="12" max="12" width="12.625" style="37" bestFit="1" customWidth="1"/>
    <col min="13" max="13" width="15" style="37" bestFit="1" customWidth="1"/>
    <col min="14" max="14" width="10" style="37" bestFit="1" customWidth="1"/>
    <col min="15" max="15" width="8.75" style="37" bestFit="1" customWidth="1"/>
    <col min="16" max="17" width="10" style="37" bestFit="1" customWidth="1"/>
    <col min="18" max="19" width="21.5" style="37" bestFit="1" customWidth="1"/>
    <col min="20" max="21" width="17.875" style="37" bestFit="1" customWidth="1"/>
    <col min="22" max="23" width="21.5" style="37" bestFit="1" customWidth="1"/>
    <col min="24" max="27" width="16.125" style="37" bestFit="1" customWidth="1"/>
    <col min="28" max="29" width="23.25" style="37" bestFit="1" customWidth="1"/>
    <col min="30" max="30" width="16.125" style="37" bestFit="1" customWidth="1"/>
    <col min="31" max="31" width="15.375" style="37" bestFit="1" customWidth="1"/>
    <col min="32" max="33" width="14.625" style="37" bestFit="1" customWidth="1"/>
    <col min="34" max="35" width="14.25" style="37" bestFit="1" customWidth="1"/>
    <col min="36" max="37" width="17.875" style="37" bestFit="1" customWidth="1"/>
    <col min="38" max="39" width="14.25" style="37" bestFit="1" customWidth="1"/>
    <col min="40" max="41" width="16.375" style="37" bestFit="1" customWidth="1"/>
    <col min="42" max="43" width="19.625" style="37" bestFit="1" customWidth="1"/>
    <col min="44" max="45" width="17.875" style="37" bestFit="1" customWidth="1"/>
    <col min="46" max="47" width="14.625" style="37" bestFit="1" customWidth="1"/>
    <col min="48" max="49" width="19" style="37" bestFit="1" customWidth="1"/>
    <col min="50" max="50" width="20.75" style="37" bestFit="1" customWidth="1"/>
    <col min="51" max="51" width="18.625" style="37" bestFit="1" customWidth="1"/>
    <col min="52" max="53" width="19" style="37" bestFit="1" customWidth="1"/>
    <col min="54" max="55" width="21.125" style="37" bestFit="1" customWidth="1"/>
    <col min="56" max="16384" width="9" style="37"/>
  </cols>
  <sheetData>
    <row r="1" spans="1:195" s="35" customFormat="1" ht="40.5" x14ac:dyDescent="0.3">
      <c r="A1" s="3" t="s">
        <v>67</v>
      </c>
      <c r="B1" s="13" t="s">
        <v>195</v>
      </c>
      <c r="C1" s="13" t="s">
        <v>196</v>
      </c>
      <c r="D1" s="13" t="s">
        <v>197</v>
      </c>
      <c r="E1" s="13" t="s">
        <v>198</v>
      </c>
      <c r="F1" s="13" t="s">
        <v>199</v>
      </c>
      <c r="G1" s="13" t="s">
        <v>200</v>
      </c>
      <c r="H1" s="13" t="s">
        <v>201</v>
      </c>
      <c r="I1" s="13" t="s">
        <v>202</v>
      </c>
      <c r="J1" s="13" t="s">
        <v>203</v>
      </c>
      <c r="K1" s="13" t="s">
        <v>204</v>
      </c>
      <c r="L1" s="13" t="s">
        <v>205</v>
      </c>
      <c r="M1" s="13" t="s">
        <v>206</v>
      </c>
      <c r="N1" s="13" t="s">
        <v>207</v>
      </c>
      <c r="O1" s="13" t="s">
        <v>208</v>
      </c>
      <c r="P1" s="13" t="s">
        <v>209</v>
      </c>
      <c r="Q1" s="13" t="s">
        <v>210</v>
      </c>
      <c r="R1" s="13" t="s">
        <v>161</v>
      </c>
      <c r="S1" s="13" t="s">
        <v>162</v>
      </c>
      <c r="T1" s="13" t="s">
        <v>163</v>
      </c>
      <c r="U1" s="13" t="s">
        <v>164</v>
      </c>
      <c r="V1" s="13" t="s">
        <v>160</v>
      </c>
      <c r="W1" s="13" t="s">
        <v>159</v>
      </c>
      <c r="X1" s="13" t="s">
        <v>158</v>
      </c>
      <c r="Y1" s="13" t="s">
        <v>157</v>
      </c>
      <c r="Z1" s="13" t="s">
        <v>155</v>
      </c>
      <c r="AA1" s="13" t="s">
        <v>154</v>
      </c>
      <c r="AB1" s="13" t="s">
        <v>156</v>
      </c>
      <c r="AC1" s="13" t="s">
        <v>165</v>
      </c>
      <c r="AD1" s="13" t="s">
        <v>173</v>
      </c>
      <c r="AE1" s="13" t="s">
        <v>172</v>
      </c>
      <c r="AF1" s="13" t="s">
        <v>171</v>
      </c>
      <c r="AG1" s="13" t="s">
        <v>170</v>
      </c>
      <c r="AH1" s="13" t="s">
        <v>169</v>
      </c>
      <c r="AI1" s="13" t="s">
        <v>168</v>
      </c>
      <c r="AJ1" s="13" t="s">
        <v>167</v>
      </c>
      <c r="AK1" s="13" t="s">
        <v>166</v>
      </c>
      <c r="AL1" s="13" t="s">
        <v>174</v>
      </c>
      <c r="AM1" s="13" t="s">
        <v>175</v>
      </c>
      <c r="AN1" s="13" t="s">
        <v>176</v>
      </c>
      <c r="AO1" s="13" t="s">
        <v>177</v>
      </c>
      <c r="AP1" s="13" t="s">
        <v>178</v>
      </c>
      <c r="AQ1" s="13" t="s">
        <v>179</v>
      </c>
      <c r="AR1" s="13" t="s">
        <v>180</v>
      </c>
      <c r="AS1" s="13" t="s">
        <v>181</v>
      </c>
      <c r="AT1" s="13" t="s">
        <v>182</v>
      </c>
      <c r="AU1" s="13" t="s">
        <v>183</v>
      </c>
      <c r="AV1" s="13" t="s">
        <v>184</v>
      </c>
      <c r="AW1" s="13" t="s">
        <v>185</v>
      </c>
      <c r="AX1" s="13" t="s">
        <v>186</v>
      </c>
      <c r="AY1" s="13" t="s">
        <v>187</v>
      </c>
      <c r="AZ1" s="13" t="s">
        <v>188</v>
      </c>
      <c r="BA1" s="13" t="s">
        <v>189</v>
      </c>
      <c r="BB1" s="13" t="s">
        <v>190</v>
      </c>
      <c r="BC1" s="13" t="s">
        <v>191</v>
      </c>
      <c r="BD1" s="12"/>
      <c r="BE1" s="12"/>
      <c r="BF1" s="12"/>
      <c r="BG1" s="12"/>
      <c r="BH1" s="12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</row>
    <row r="2" spans="1:195" ht="15.75" customHeight="1" x14ac:dyDescent="0.3">
      <c r="A2" s="11" t="s">
        <v>547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5.1318610851931723</v>
      </c>
      <c r="T2" s="9">
        <v>0</v>
      </c>
      <c r="U2" s="9">
        <v>5.4435899902188032</v>
      </c>
      <c r="V2" s="9">
        <v>0</v>
      </c>
      <c r="W2" s="9">
        <v>6.6416111905736175</v>
      </c>
      <c r="X2" s="9">
        <v>0</v>
      </c>
      <c r="Y2" s="9">
        <v>8.1027573093048808</v>
      </c>
      <c r="Z2" s="9">
        <v>0</v>
      </c>
      <c r="AA2" s="9">
        <v>6.9109416336442777</v>
      </c>
      <c r="AB2" s="9">
        <v>0</v>
      </c>
      <c r="AC2" s="9">
        <v>7.5135265653374725</v>
      </c>
      <c r="AD2" s="9">
        <v>0</v>
      </c>
      <c r="AE2" s="9">
        <v>9.007791764052369</v>
      </c>
      <c r="AF2" s="9">
        <v>0</v>
      </c>
      <c r="AG2" s="9">
        <v>9.4084889945411465</v>
      </c>
      <c r="AH2" s="9">
        <v>0</v>
      </c>
      <c r="AI2" s="9">
        <v>8.9336816335953984</v>
      </c>
      <c r="AJ2" s="9">
        <v>0</v>
      </c>
      <c r="AK2" s="9">
        <v>8.1306207430037869</v>
      </c>
      <c r="AL2" s="9">
        <v>0</v>
      </c>
      <c r="AM2" s="9">
        <v>8.7217579343274476</v>
      </c>
      <c r="AN2" s="9">
        <v>0</v>
      </c>
      <c r="AO2" s="9">
        <v>8.239709526336469</v>
      </c>
      <c r="AP2" s="9">
        <v>0</v>
      </c>
      <c r="AQ2" s="9">
        <v>9.961319593044232</v>
      </c>
      <c r="AR2" s="9">
        <v>0</v>
      </c>
      <c r="AS2" s="9">
        <v>6.2904303891458859</v>
      </c>
      <c r="AT2" s="9">
        <v>0</v>
      </c>
      <c r="AU2" s="9">
        <v>8.379027911971809</v>
      </c>
      <c r="AV2" s="9">
        <v>0</v>
      </c>
      <c r="AW2" s="9">
        <v>9.2171929778940562</v>
      </c>
      <c r="AX2" s="9">
        <v>0</v>
      </c>
      <c r="AY2" s="9">
        <v>8.0776655150765464</v>
      </c>
      <c r="AZ2" s="9">
        <v>0</v>
      </c>
      <c r="BA2" s="9">
        <v>5.4307240734200235</v>
      </c>
      <c r="BB2" s="9">
        <v>0</v>
      </c>
      <c r="BC2" s="9">
        <v>5.7190522498392502</v>
      </c>
    </row>
    <row r="3" spans="1:195" ht="15.75" customHeight="1" x14ac:dyDescent="0.3">
      <c r="A3" s="11" t="s">
        <v>548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8.817646604974529</v>
      </c>
      <c r="S3" s="9">
        <v>4.6697756293304247</v>
      </c>
      <c r="T3" s="9">
        <v>1.626707060909063</v>
      </c>
      <c r="U3" s="9">
        <v>5.0490165978861308</v>
      </c>
      <c r="V3" s="9">
        <v>6.5694252738646446</v>
      </c>
      <c r="W3" s="9">
        <v>5.703770057427211</v>
      </c>
      <c r="X3" s="9">
        <v>0</v>
      </c>
      <c r="Y3" s="9">
        <v>5.4241271406125238</v>
      </c>
      <c r="Z3" s="9">
        <v>6.2670080370043033</v>
      </c>
      <c r="AA3" s="9">
        <v>3.5747070476729443</v>
      </c>
      <c r="AB3" s="9">
        <v>5.0290558708935817</v>
      </c>
      <c r="AC3" s="9">
        <v>7.639957879036106</v>
      </c>
      <c r="AD3" s="9">
        <v>0</v>
      </c>
      <c r="AE3" s="9">
        <v>7.3091884215657643</v>
      </c>
      <c r="AF3" s="9">
        <v>6.255996860220816</v>
      </c>
      <c r="AG3" s="9">
        <v>9.2862025207024708</v>
      </c>
      <c r="AH3" s="9">
        <v>0</v>
      </c>
      <c r="AI3" s="9">
        <v>9.1381043698983984</v>
      </c>
      <c r="AJ3" s="9">
        <v>5.2002537013988581</v>
      </c>
      <c r="AK3" s="9">
        <v>6.7527776041273846</v>
      </c>
      <c r="AL3" s="9">
        <v>9.0520246892202785</v>
      </c>
      <c r="AM3" s="9">
        <v>8.9784086858010976</v>
      </c>
      <c r="AN3" s="9">
        <v>6.9689698891225538</v>
      </c>
      <c r="AO3" s="9">
        <v>5.5807588529158787</v>
      </c>
      <c r="AP3" s="9">
        <v>5.4391353094054367</v>
      </c>
      <c r="AQ3" s="9">
        <v>7.8272075344739918</v>
      </c>
      <c r="AR3" s="9">
        <v>1.8134760354760304</v>
      </c>
      <c r="AS3" s="9">
        <v>3.4012428622385094</v>
      </c>
      <c r="AT3" s="9">
        <v>1.822581812363915</v>
      </c>
      <c r="AU3" s="9">
        <v>7.7077394068227889</v>
      </c>
      <c r="AV3" s="9">
        <v>7.6692587407804593</v>
      </c>
      <c r="AW3" s="9">
        <v>7.9695046889465821</v>
      </c>
      <c r="AX3" s="9">
        <v>8.2326731375480033</v>
      </c>
      <c r="AY3" s="9">
        <v>6.033663139746932</v>
      </c>
      <c r="AZ3" s="9">
        <v>1.7585716739273483</v>
      </c>
      <c r="BA3" s="9">
        <v>4.400571820842349</v>
      </c>
      <c r="BB3" s="9">
        <v>1.0654188104031228</v>
      </c>
      <c r="BC3" s="9">
        <v>4.318614003999067</v>
      </c>
    </row>
    <row r="4" spans="1:195" ht="15.75" customHeight="1" x14ac:dyDescent="0.3">
      <c r="A4" s="11" t="s">
        <v>549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50.38165345096477</v>
      </c>
      <c r="T4" s="9">
        <v>0</v>
      </c>
      <c r="U4" s="9">
        <v>46.630480764992122</v>
      </c>
      <c r="V4" s="9">
        <v>0</v>
      </c>
      <c r="W4" s="9">
        <v>49.429032853405033</v>
      </c>
      <c r="X4" s="9">
        <v>0</v>
      </c>
      <c r="Y4" s="9">
        <v>63.623423586553848</v>
      </c>
      <c r="Z4" s="9">
        <v>0</v>
      </c>
      <c r="AA4" s="9">
        <v>47.805830304919134</v>
      </c>
      <c r="AB4" s="9">
        <v>0</v>
      </c>
      <c r="AC4" s="9">
        <v>76.385126852669899</v>
      </c>
      <c r="AD4" s="9">
        <v>0</v>
      </c>
      <c r="AE4" s="9">
        <v>85.680043100378171</v>
      </c>
      <c r="AF4" s="9">
        <v>0</v>
      </c>
      <c r="AG4" s="9">
        <v>71.48241672500447</v>
      </c>
      <c r="AH4" s="9">
        <v>0</v>
      </c>
      <c r="AI4" s="9">
        <v>70.163533315585781</v>
      </c>
      <c r="AJ4" s="9">
        <v>0</v>
      </c>
      <c r="AK4" s="9">
        <v>61.149027743021016</v>
      </c>
      <c r="AL4" s="9">
        <v>0</v>
      </c>
      <c r="AM4" s="9">
        <v>64.571689379172824</v>
      </c>
      <c r="AN4" s="9">
        <v>0</v>
      </c>
      <c r="AO4" s="9">
        <v>63.505958221625498</v>
      </c>
      <c r="AP4" s="9">
        <v>0</v>
      </c>
      <c r="AQ4" s="9">
        <v>69.222792091231028</v>
      </c>
      <c r="AR4" s="9">
        <v>0</v>
      </c>
      <c r="AS4" s="9">
        <v>52.829388946335122</v>
      </c>
      <c r="AT4" s="9">
        <v>0</v>
      </c>
      <c r="AU4" s="9">
        <v>65.535342842768401</v>
      </c>
      <c r="AV4" s="9">
        <v>0</v>
      </c>
      <c r="AW4" s="9">
        <v>70.616719019241657</v>
      </c>
      <c r="AX4" s="9">
        <v>0</v>
      </c>
      <c r="AY4" s="9">
        <v>68.380883838862118</v>
      </c>
      <c r="AZ4" s="9">
        <v>0</v>
      </c>
      <c r="BA4" s="9">
        <v>54.088191435343468</v>
      </c>
      <c r="BB4" s="9">
        <v>0</v>
      </c>
      <c r="BC4" s="9">
        <v>50.875742671503438</v>
      </c>
    </row>
    <row r="5" spans="1:195" ht="15.75" customHeight="1" x14ac:dyDescent="0.3">
      <c r="A5" s="11" t="s">
        <v>481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7.7287545849326982</v>
      </c>
      <c r="T5" s="9">
        <v>0</v>
      </c>
      <c r="U5" s="9">
        <v>8.0491971915846445</v>
      </c>
      <c r="V5" s="9">
        <v>0</v>
      </c>
      <c r="W5" s="9">
        <v>7.8275773063664671</v>
      </c>
      <c r="X5" s="9">
        <v>0</v>
      </c>
      <c r="Y5" s="9">
        <v>6.3252602210329201</v>
      </c>
      <c r="Z5" s="9">
        <v>0</v>
      </c>
      <c r="AA5" s="9">
        <v>5.3769120983414558</v>
      </c>
      <c r="AB5" s="9">
        <v>0</v>
      </c>
      <c r="AC5" s="9">
        <v>8.4961038046622193</v>
      </c>
      <c r="AD5" s="9">
        <v>2.5267549127607793</v>
      </c>
      <c r="AE5" s="9">
        <v>9.2083478613119887</v>
      </c>
      <c r="AF5" s="9">
        <v>0</v>
      </c>
      <c r="AG5" s="9">
        <v>8.6133600174013107</v>
      </c>
      <c r="AH5" s="9">
        <v>0</v>
      </c>
      <c r="AI5" s="9">
        <v>9.6468146929146545</v>
      </c>
      <c r="AJ5" s="9">
        <v>0</v>
      </c>
      <c r="AK5" s="9">
        <v>8.2789923799227392</v>
      </c>
      <c r="AL5" s="9">
        <v>0</v>
      </c>
      <c r="AM5" s="9">
        <v>8.9312836880445001</v>
      </c>
      <c r="AN5" s="9">
        <v>0</v>
      </c>
      <c r="AO5" s="9">
        <v>9.4013846948785886</v>
      </c>
      <c r="AP5" s="9">
        <v>0</v>
      </c>
      <c r="AQ5" s="9">
        <v>11.305175050451984</v>
      </c>
      <c r="AR5" s="9">
        <v>0</v>
      </c>
      <c r="AS5" s="9">
        <v>14.532785056136198</v>
      </c>
      <c r="AT5" s="9">
        <v>0</v>
      </c>
      <c r="AU5" s="9">
        <v>8.5577429191421004</v>
      </c>
      <c r="AV5" s="9">
        <v>0</v>
      </c>
      <c r="AW5" s="9">
        <v>8.627278545087627</v>
      </c>
      <c r="AX5" s="9">
        <v>0</v>
      </c>
      <c r="AY5" s="9">
        <v>7.8661234172861514</v>
      </c>
      <c r="AZ5" s="9">
        <v>0</v>
      </c>
      <c r="BA5" s="9">
        <v>11.562581838461869</v>
      </c>
      <c r="BB5" s="9">
        <v>0</v>
      </c>
      <c r="BC5" s="9">
        <v>11.713020338669581</v>
      </c>
    </row>
    <row r="6" spans="1:195" ht="15.75" customHeight="1" x14ac:dyDescent="0.3">
      <c r="A6" s="11" t="s">
        <v>482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226.36336332981469</v>
      </c>
      <c r="S6" s="9">
        <v>18.94818323932769</v>
      </c>
      <c r="T6" s="9">
        <v>239.04868225388586</v>
      </c>
      <c r="U6" s="9">
        <v>20.473780999599324</v>
      </c>
      <c r="V6" s="9">
        <v>193.04142115231161</v>
      </c>
      <c r="W6" s="9">
        <v>22.43917126037141</v>
      </c>
      <c r="X6" s="9">
        <v>210.07773446893566</v>
      </c>
      <c r="Y6" s="9">
        <v>12.377016099026141</v>
      </c>
      <c r="Z6" s="9">
        <v>160.96842646927053</v>
      </c>
      <c r="AA6" s="9">
        <v>10.075810152807328</v>
      </c>
      <c r="AB6" s="9">
        <v>113.77772811377166</v>
      </c>
      <c r="AC6" s="9">
        <v>23.277854434822459</v>
      </c>
      <c r="AD6" s="9">
        <v>144.45636709194869</v>
      </c>
      <c r="AE6" s="9">
        <v>24.331093961564605</v>
      </c>
      <c r="AF6" s="9">
        <v>189.85504309157741</v>
      </c>
      <c r="AG6" s="9">
        <v>21.518976201020607</v>
      </c>
      <c r="AH6" s="9">
        <v>229.2984421140593</v>
      </c>
      <c r="AI6" s="9">
        <v>24.704718682021337</v>
      </c>
      <c r="AJ6" s="9">
        <v>159.67442248621725</v>
      </c>
      <c r="AK6" s="9">
        <v>18.811161696564422</v>
      </c>
      <c r="AL6" s="9">
        <v>198.42379579370512</v>
      </c>
      <c r="AM6" s="9">
        <v>30.893850077618406</v>
      </c>
      <c r="AN6" s="9">
        <v>231.47129641747537</v>
      </c>
      <c r="AO6" s="9">
        <v>21.72762445768338</v>
      </c>
      <c r="AP6" s="9">
        <v>221.26461823559023</v>
      </c>
      <c r="AQ6" s="9">
        <v>31.964912605865013</v>
      </c>
      <c r="AR6" s="9">
        <v>603.77531785905103</v>
      </c>
      <c r="AS6" s="9">
        <v>37.061999778648108</v>
      </c>
      <c r="AT6" s="9">
        <v>236.18561392984626</v>
      </c>
      <c r="AU6" s="9">
        <v>26.837201023241807</v>
      </c>
      <c r="AV6" s="9">
        <v>177.30306213674399</v>
      </c>
      <c r="AW6" s="9">
        <v>20.677966122880033</v>
      </c>
      <c r="AX6" s="9">
        <v>179.39097674771446</v>
      </c>
      <c r="AY6" s="9">
        <v>17.075738846248893</v>
      </c>
      <c r="AZ6" s="9">
        <v>525.35220898458317</v>
      </c>
      <c r="BA6" s="9">
        <v>29.792511327650065</v>
      </c>
      <c r="BB6" s="9">
        <v>587.6635354310572</v>
      </c>
      <c r="BC6" s="9">
        <v>32.520357648266895</v>
      </c>
    </row>
    <row r="7" spans="1:195" ht="15.75" customHeight="1" x14ac:dyDescent="0.3">
      <c r="A7" s="11" t="s">
        <v>483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5.0060832060384532</v>
      </c>
      <c r="S7" s="9">
        <v>0</v>
      </c>
      <c r="T7" s="9">
        <v>0</v>
      </c>
      <c r="U7" s="9">
        <v>0</v>
      </c>
      <c r="V7" s="9">
        <v>4.2944084591574425</v>
      </c>
      <c r="W7" s="9">
        <v>0</v>
      </c>
      <c r="X7" s="9">
        <v>0</v>
      </c>
      <c r="Y7" s="9">
        <v>0</v>
      </c>
      <c r="Z7" s="9">
        <v>3.9687039564698545</v>
      </c>
      <c r="AA7" s="9">
        <v>0</v>
      </c>
      <c r="AB7" s="9">
        <v>3.1599710183160266</v>
      </c>
      <c r="AC7" s="9">
        <v>0</v>
      </c>
      <c r="AD7" s="9">
        <v>0</v>
      </c>
      <c r="AE7" s="9">
        <v>0</v>
      </c>
      <c r="AF7" s="9">
        <v>4.2411016124428826</v>
      </c>
      <c r="AG7" s="9">
        <v>0</v>
      </c>
      <c r="AH7" s="9">
        <v>0</v>
      </c>
      <c r="AI7" s="9">
        <v>0</v>
      </c>
      <c r="AJ7" s="9">
        <v>4.0777821861035095</v>
      </c>
      <c r="AK7" s="9">
        <v>0</v>
      </c>
      <c r="AL7" s="9">
        <v>4.6614426734160617</v>
      </c>
      <c r="AM7" s="9">
        <v>0</v>
      </c>
      <c r="AN7" s="9">
        <v>5.0700843654969443</v>
      </c>
      <c r="AO7" s="9">
        <v>0</v>
      </c>
      <c r="AP7" s="9">
        <v>5.2485673761136171</v>
      </c>
      <c r="AQ7" s="9">
        <v>0</v>
      </c>
      <c r="AR7" s="9">
        <v>9.0299514108426475</v>
      </c>
      <c r="AS7" s="9">
        <v>0</v>
      </c>
      <c r="AT7" s="9">
        <v>2.4689312092724665</v>
      </c>
      <c r="AU7" s="9">
        <v>0</v>
      </c>
      <c r="AV7" s="9">
        <v>4.606808155131545</v>
      </c>
      <c r="AW7" s="9">
        <v>0</v>
      </c>
      <c r="AX7" s="9">
        <v>4.8284858952970557</v>
      </c>
      <c r="AY7" s="9">
        <v>0</v>
      </c>
      <c r="AZ7" s="9">
        <v>4.3929992332070258</v>
      </c>
      <c r="BA7" s="9">
        <v>0</v>
      </c>
      <c r="BB7" s="9">
        <v>4.418005352102397</v>
      </c>
      <c r="BC7" s="9">
        <v>0</v>
      </c>
      <c r="BD7" s="10"/>
      <c r="BE7" s="10"/>
      <c r="BF7" s="10"/>
      <c r="BG7" s="10"/>
      <c r="BH7" s="10"/>
    </row>
    <row r="8" spans="1:195" ht="15.75" customHeight="1" x14ac:dyDescent="0.3">
      <c r="A8" s="11" t="s">
        <v>480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4.426055113716866</v>
      </c>
      <c r="AS8" s="9">
        <v>0</v>
      </c>
      <c r="AT8" s="9">
        <v>2.4176365081023792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3.3902809301697086</v>
      </c>
      <c r="BA8" s="9">
        <v>0</v>
      </c>
      <c r="BB8" s="9">
        <v>4.8553355923241908</v>
      </c>
      <c r="BC8" s="9">
        <v>0</v>
      </c>
      <c r="BD8" s="10"/>
      <c r="BE8" s="10"/>
      <c r="BF8" s="10"/>
      <c r="BG8" s="10"/>
      <c r="BH8" s="10"/>
    </row>
    <row r="9" spans="1:195" ht="15.75" customHeight="1" x14ac:dyDescent="0.3">
      <c r="A9" s="11" t="s">
        <v>464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446.78040098677542</v>
      </c>
      <c r="S9" s="9">
        <v>14.576604451792813</v>
      </c>
      <c r="T9" s="9">
        <v>592.53457070207298</v>
      </c>
      <c r="U9" s="9">
        <v>16.155733408332122</v>
      </c>
      <c r="V9" s="9">
        <v>555.79819240353982</v>
      </c>
      <c r="W9" s="9">
        <v>18.834810948164716</v>
      </c>
      <c r="X9" s="9">
        <v>659.87096427677761</v>
      </c>
      <c r="Y9" s="9">
        <v>9.2577270510401757</v>
      </c>
      <c r="Z9" s="9">
        <v>399.59490070567716</v>
      </c>
      <c r="AA9" s="9">
        <v>7.5478092584128769</v>
      </c>
      <c r="AB9" s="9">
        <v>573.22038574132955</v>
      </c>
      <c r="AC9" s="9">
        <v>19.659456260873906</v>
      </c>
      <c r="AD9" s="9">
        <v>617.88616700222929</v>
      </c>
      <c r="AE9" s="9">
        <v>19.787432235627559</v>
      </c>
      <c r="AF9" s="9">
        <v>573.82020717217245</v>
      </c>
      <c r="AG9" s="9">
        <v>15.488572152022172</v>
      </c>
      <c r="AH9" s="9">
        <v>678.9918596361191</v>
      </c>
      <c r="AI9" s="9">
        <v>18.586376268104868</v>
      </c>
      <c r="AJ9" s="9">
        <v>625.02120880893517</v>
      </c>
      <c r="AK9" s="9">
        <v>15.325365221737508</v>
      </c>
      <c r="AL9" s="9">
        <v>403.05480861171463</v>
      </c>
      <c r="AM9" s="9">
        <v>27.306285150362129</v>
      </c>
      <c r="AN9" s="9">
        <v>551.47295843196173</v>
      </c>
      <c r="AO9" s="9">
        <v>16.534173226078668</v>
      </c>
      <c r="AP9" s="9">
        <v>700.18442127468859</v>
      </c>
      <c r="AQ9" s="9">
        <v>25.594785582718789</v>
      </c>
      <c r="AR9" s="9">
        <v>709.3569312794416</v>
      </c>
      <c r="AS9" s="9">
        <v>24.886959877196059</v>
      </c>
      <c r="AT9" s="9">
        <v>262.09313340348979</v>
      </c>
      <c r="AU9" s="9">
        <v>19.973175954213264</v>
      </c>
      <c r="AV9" s="9">
        <v>530.25393218759825</v>
      </c>
      <c r="AW9" s="9">
        <v>17.332161959309207</v>
      </c>
      <c r="AX9" s="9">
        <v>499.82314604700332</v>
      </c>
      <c r="AY9" s="9">
        <v>13.736504959515164</v>
      </c>
      <c r="AZ9" s="9">
        <v>513.68038503851676</v>
      </c>
      <c r="BA9" s="9">
        <v>19.576908371493335</v>
      </c>
      <c r="BB9" s="9">
        <v>664.64065416767926</v>
      </c>
      <c r="BC9" s="9">
        <v>21.370871172966051</v>
      </c>
      <c r="BD9" s="10"/>
      <c r="BE9" s="10"/>
      <c r="BF9" s="10"/>
      <c r="BG9" s="10"/>
      <c r="BH9" s="10"/>
    </row>
    <row r="10" spans="1:195" ht="15.75" customHeight="1" x14ac:dyDescent="0.3">
      <c r="A10" s="11" t="s">
        <v>553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5.2108591815533609</v>
      </c>
      <c r="S10" s="9">
        <v>0</v>
      </c>
      <c r="T10" s="9">
        <v>0</v>
      </c>
      <c r="U10" s="9">
        <v>0</v>
      </c>
      <c r="V10" s="9">
        <v>6.7307350796967969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7.4846316480149397</v>
      </c>
      <c r="AC10" s="9">
        <v>0</v>
      </c>
      <c r="AD10" s="9">
        <v>0</v>
      </c>
      <c r="AE10" s="9">
        <v>0</v>
      </c>
      <c r="AF10" s="9">
        <v>6.3348735524840274</v>
      </c>
      <c r="AG10" s="9">
        <v>0</v>
      </c>
      <c r="AH10" s="9">
        <v>0</v>
      </c>
      <c r="AI10" s="9">
        <v>0</v>
      </c>
      <c r="AJ10" s="9">
        <v>7.9823187332635781</v>
      </c>
      <c r="AK10" s="9">
        <v>0</v>
      </c>
      <c r="AL10" s="9">
        <v>5.3983476301190949</v>
      </c>
      <c r="AM10" s="9">
        <v>0</v>
      </c>
      <c r="AN10" s="9">
        <v>5.8337635549983391</v>
      </c>
      <c r="AO10" s="9">
        <v>0</v>
      </c>
      <c r="AP10" s="9">
        <v>8.0941157293819845</v>
      </c>
      <c r="AQ10" s="9">
        <v>0</v>
      </c>
      <c r="AR10" s="9">
        <v>0</v>
      </c>
      <c r="AS10" s="9">
        <v>3.4778519752450783</v>
      </c>
      <c r="AT10" s="9">
        <v>0</v>
      </c>
      <c r="AU10" s="9">
        <v>0</v>
      </c>
      <c r="AV10" s="9">
        <v>6.3402289079488741</v>
      </c>
      <c r="AW10" s="9">
        <v>0</v>
      </c>
      <c r="AX10" s="9">
        <v>6.3374754842650178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10"/>
      <c r="BE10" s="10"/>
      <c r="BF10" s="10"/>
      <c r="BG10" s="10"/>
      <c r="BH10" s="10"/>
    </row>
    <row r="11" spans="1:195" ht="15.75" customHeight="1" x14ac:dyDescent="0.3">
      <c r="A11" s="11" t="s">
        <v>484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4.3237506384875557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3.7010820922247873</v>
      </c>
      <c r="BA11" s="9">
        <v>0</v>
      </c>
      <c r="BB11" s="9">
        <v>2.5452684185511809</v>
      </c>
      <c r="BC11" s="9">
        <v>0</v>
      </c>
      <c r="BD11" s="10"/>
      <c r="BE11" s="10"/>
      <c r="BF11" s="10"/>
      <c r="BG11" s="10"/>
      <c r="BH11" s="10"/>
    </row>
    <row r="12" spans="1:195" ht="15.75" customHeight="1" x14ac:dyDescent="0.3">
      <c r="A12" s="11" t="s">
        <v>472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99.355504445022703</v>
      </c>
      <c r="T12" s="9">
        <v>0</v>
      </c>
      <c r="U12" s="9">
        <v>90.062468270771021</v>
      </c>
      <c r="V12" s="9">
        <v>0</v>
      </c>
      <c r="W12" s="9">
        <v>94.184535870445174</v>
      </c>
      <c r="X12" s="9">
        <v>0</v>
      </c>
      <c r="Y12" s="9">
        <v>94.966040312041685</v>
      </c>
      <c r="Z12" s="9">
        <v>0</v>
      </c>
      <c r="AA12" s="9">
        <v>76.218443338561954</v>
      </c>
      <c r="AB12" s="9">
        <v>0</v>
      </c>
      <c r="AC12" s="9">
        <v>116.74795664340161</v>
      </c>
      <c r="AD12" s="9">
        <v>0</v>
      </c>
      <c r="AE12" s="9">
        <v>128.2810581369979</v>
      </c>
      <c r="AF12" s="9">
        <v>0</v>
      </c>
      <c r="AG12" s="9">
        <v>132.3078664445724</v>
      </c>
      <c r="AH12" s="9">
        <v>0</v>
      </c>
      <c r="AI12" s="9">
        <v>129.74073526308413</v>
      </c>
      <c r="AJ12" s="9">
        <v>0</v>
      </c>
      <c r="AK12" s="9">
        <v>114.31139585334908</v>
      </c>
      <c r="AL12" s="9">
        <v>0</v>
      </c>
      <c r="AM12" s="9">
        <v>118.70047984245416</v>
      </c>
      <c r="AN12" s="9">
        <v>0</v>
      </c>
      <c r="AO12" s="9">
        <v>116.06414662490067</v>
      </c>
      <c r="AP12" s="9">
        <v>0</v>
      </c>
      <c r="AQ12" s="9">
        <v>94.915757972734994</v>
      </c>
      <c r="AR12" s="9">
        <v>0</v>
      </c>
      <c r="AS12" s="9">
        <v>103.11358256720742</v>
      </c>
      <c r="AT12" s="9">
        <v>0</v>
      </c>
      <c r="AU12" s="9">
        <v>124.64040795828919</v>
      </c>
      <c r="AV12" s="9">
        <v>0</v>
      </c>
      <c r="AW12" s="9">
        <v>110.14686849093675</v>
      </c>
      <c r="AX12" s="9">
        <v>0</v>
      </c>
      <c r="AY12" s="9">
        <v>105.85399333707046</v>
      </c>
      <c r="AZ12" s="9">
        <v>0</v>
      </c>
      <c r="BA12" s="9">
        <v>111.07888504768277</v>
      </c>
      <c r="BB12" s="9">
        <v>0</v>
      </c>
      <c r="BC12" s="9">
        <v>60.872645108536261</v>
      </c>
      <c r="BD12" s="10"/>
      <c r="BE12" s="10"/>
      <c r="BF12" s="10"/>
      <c r="BG12" s="10"/>
      <c r="BH12" s="10"/>
    </row>
    <row r="13" spans="1:195" ht="15.75" customHeight="1" x14ac:dyDescent="0.3">
      <c r="A13" s="11" t="s">
        <v>541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14.585247470990955</v>
      </c>
      <c r="S13" s="9">
        <v>0</v>
      </c>
      <c r="T13" s="9">
        <v>12.202294681241023</v>
      </c>
      <c r="U13" s="9">
        <v>0</v>
      </c>
      <c r="V13" s="9">
        <v>8.8625627373824454</v>
      </c>
      <c r="W13" s="9">
        <v>0</v>
      </c>
      <c r="X13" s="9">
        <v>10.325308491033915</v>
      </c>
      <c r="Y13" s="9">
        <v>0</v>
      </c>
      <c r="Z13" s="9">
        <v>7.2046934812024928</v>
      </c>
      <c r="AA13" s="9">
        <v>0</v>
      </c>
      <c r="AB13" s="9">
        <v>3.5873366201389771</v>
      </c>
      <c r="AC13" s="9">
        <v>0</v>
      </c>
      <c r="AD13" s="9">
        <v>4.9236143573273461</v>
      </c>
      <c r="AE13" s="9">
        <v>0</v>
      </c>
      <c r="AF13" s="9">
        <v>8.6145031303770931</v>
      </c>
      <c r="AG13" s="9">
        <v>0</v>
      </c>
      <c r="AH13" s="9">
        <v>9.6510855494629411</v>
      </c>
      <c r="AI13" s="9">
        <v>0</v>
      </c>
      <c r="AJ13" s="9">
        <v>13.020365223246054</v>
      </c>
      <c r="AK13" s="9">
        <v>0</v>
      </c>
      <c r="AL13" s="9">
        <v>9.7061492081635556</v>
      </c>
      <c r="AM13" s="9">
        <v>0</v>
      </c>
      <c r="AN13" s="9">
        <v>23.535895941175397</v>
      </c>
      <c r="AO13" s="9">
        <v>2.2112662888718648</v>
      </c>
      <c r="AP13" s="9">
        <v>24.555278940381481</v>
      </c>
      <c r="AQ13" s="9">
        <v>3.3870123084008044</v>
      </c>
      <c r="AR13" s="9">
        <v>103.93411877175033</v>
      </c>
      <c r="AS13" s="9">
        <v>9.4734530239275276</v>
      </c>
      <c r="AT13" s="9">
        <v>15.481318570523328</v>
      </c>
      <c r="AU13" s="9">
        <v>2.4157128028804777</v>
      </c>
      <c r="AV13" s="9">
        <v>6.2468653316898894</v>
      </c>
      <c r="AW13" s="9">
        <v>0</v>
      </c>
      <c r="AX13" s="9">
        <v>6.0957252560777846</v>
      </c>
      <c r="AY13" s="9">
        <v>0</v>
      </c>
      <c r="AZ13" s="9">
        <v>97.412029169118668</v>
      </c>
      <c r="BA13" s="9">
        <v>9.390426773711317</v>
      </c>
      <c r="BB13" s="9">
        <v>103.1886557558247</v>
      </c>
      <c r="BC13" s="9">
        <v>8.8483952339769019</v>
      </c>
      <c r="BD13" s="10"/>
      <c r="BE13" s="10"/>
      <c r="BF13" s="10"/>
      <c r="BG13" s="10"/>
      <c r="BH13" s="10"/>
    </row>
    <row r="14" spans="1:195" ht="15.75" customHeight="1" x14ac:dyDescent="0.3">
      <c r="A14" s="11" t="s">
        <v>542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4.0133385557166124</v>
      </c>
      <c r="S14" s="9">
        <v>0</v>
      </c>
      <c r="T14" s="9">
        <v>1.989597729447232</v>
      </c>
      <c r="U14" s="9">
        <v>0</v>
      </c>
      <c r="V14" s="9">
        <v>6.2974230891593139</v>
      </c>
      <c r="W14" s="9">
        <v>0</v>
      </c>
      <c r="X14" s="9">
        <v>0.97969831816176833</v>
      </c>
      <c r="Y14" s="9">
        <v>0</v>
      </c>
      <c r="Z14" s="9">
        <v>1.7472699203840341</v>
      </c>
      <c r="AA14" s="9">
        <v>0</v>
      </c>
      <c r="AB14" s="9">
        <v>1.1171348349945109</v>
      </c>
      <c r="AC14" s="9">
        <v>0</v>
      </c>
      <c r="AD14" s="9">
        <v>0.59238050106160578</v>
      </c>
      <c r="AE14" s="9">
        <v>0</v>
      </c>
      <c r="AF14" s="9">
        <v>2.3716708425022635</v>
      </c>
      <c r="AG14" s="9">
        <v>0</v>
      </c>
      <c r="AH14" s="9">
        <v>1.3336374923740391</v>
      </c>
      <c r="AI14" s="9">
        <v>0</v>
      </c>
      <c r="AJ14" s="9">
        <v>1.6553134980607089</v>
      </c>
      <c r="AK14" s="9">
        <v>0</v>
      </c>
      <c r="AL14" s="9">
        <v>7.8696110322515693</v>
      </c>
      <c r="AM14" s="9">
        <v>0</v>
      </c>
      <c r="AN14" s="9">
        <v>3.1322568724378024</v>
      </c>
      <c r="AO14" s="9">
        <v>0</v>
      </c>
      <c r="AP14" s="9">
        <v>2.1132138958068509</v>
      </c>
      <c r="AQ14" s="9">
        <v>0</v>
      </c>
      <c r="AR14" s="9">
        <v>1.1116122082564663</v>
      </c>
      <c r="AS14" s="9">
        <v>0</v>
      </c>
      <c r="AT14" s="9">
        <v>0.91618712674192848</v>
      </c>
      <c r="AU14" s="9">
        <v>0</v>
      </c>
      <c r="AV14" s="9">
        <v>2.3801694121147912</v>
      </c>
      <c r="AW14" s="9">
        <v>0</v>
      </c>
      <c r="AX14" s="9">
        <v>2.6696952514403214</v>
      </c>
      <c r="AY14" s="9">
        <v>0</v>
      </c>
      <c r="AZ14" s="9">
        <v>2.4196116617679082</v>
      </c>
      <c r="BA14" s="9">
        <v>0</v>
      </c>
      <c r="BB14" s="9">
        <v>1.9592810404751386</v>
      </c>
      <c r="BC14" s="9">
        <v>0</v>
      </c>
      <c r="BD14" s="10"/>
      <c r="BE14" s="10"/>
      <c r="BF14" s="10"/>
      <c r="BG14" s="10"/>
      <c r="BH14" s="10"/>
    </row>
    <row r="15" spans="1:195" ht="15.75" customHeight="1" x14ac:dyDescent="0.3">
      <c r="A15" s="11" t="s">
        <v>543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14.395310922864899</v>
      </c>
      <c r="S15" s="9">
        <v>0</v>
      </c>
      <c r="T15" s="9">
        <v>16.753390296815727</v>
      </c>
      <c r="U15" s="9">
        <v>0</v>
      </c>
      <c r="V15" s="9">
        <v>15.149078372738373</v>
      </c>
      <c r="W15" s="9">
        <v>0</v>
      </c>
      <c r="X15" s="9">
        <v>19.57214952273063</v>
      </c>
      <c r="Y15" s="9">
        <v>0</v>
      </c>
      <c r="Z15" s="9">
        <v>11.796359118560398</v>
      </c>
      <c r="AA15" s="9">
        <v>0</v>
      </c>
      <c r="AB15" s="9">
        <v>10.374585573941838</v>
      </c>
      <c r="AC15" s="9">
        <v>0</v>
      </c>
      <c r="AD15" s="9">
        <v>12.530544944430893</v>
      </c>
      <c r="AE15" s="9">
        <v>0</v>
      </c>
      <c r="AF15" s="9">
        <v>15.896596890182925</v>
      </c>
      <c r="AG15" s="9">
        <v>0</v>
      </c>
      <c r="AH15" s="9">
        <v>17.659970359402063</v>
      </c>
      <c r="AI15" s="9">
        <v>0</v>
      </c>
      <c r="AJ15" s="9">
        <v>24.295744534180908</v>
      </c>
      <c r="AK15" s="9">
        <v>0</v>
      </c>
      <c r="AL15" s="9">
        <v>11.71382694713459</v>
      </c>
      <c r="AM15" s="9">
        <v>0</v>
      </c>
      <c r="AN15" s="9">
        <v>27.082334896997441</v>
      </c>
      <c r="AO15" s="9">
        <v>0</v>
      </c>
      <c r="AP15" s="9">
        <v>36.570928551100423</v>
      </c>
      <c r="AQ15" s="9">
        <v>2.7147679599738175</v>
      </c>
      <c r="AR15" s="9">
        <v>98.053389334295062</v>
      </c>
      <c r="AS15" s="9">
        <v>6.8767116178240855</v>
      </c>
      <c r="AT15" s="9">
        <v>12.05988226820981</v>
      </c>
      <c r="AU15" s="9">
        <v>1.3289878849356922</v>
      </c>
      <c r="AV15" s="9">
        <v>12.110776396132076</v>
      </c>
      <c r="AW15" s="9">
        <v>0</v>
      </c>
      <c r="AX15" s="9">
        <v>11.337428112928334</v>
      </c>
      <c r="AY15" s="9">
        <v>0</v>
      </c>
      <c r="AZ15" s="9">
        <v>83.303462768438052</v>
      </c>
      <c r="BA15" s="9">
        <v>6.4262603438449979</v>
      </c>
      <c r="BB15" s="9">
        <v>98.503623343517873</v>
      </c>
      <c r="BC15" s="9">
        <v>6.1399661056687771</v>
      </c>
      <c r="BD15" s="10"/>
      <c r="BE15" s="10"/>
      <c r="BF15" s="10"/>
      <c r="BG15" s="10"/>
      <c r="BH15" s="10"/>
    </row>
    <row r="16" spans="1:195" ht="15.75" customHeight="1" x14ac:dyDescent="0.3">
      <c r="A16" s="11" t="s">
        <v>471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5.929733637646482</v>
      </c>
      <c r="U16" s="9">
        <v>0</v>
      </c>
      <c r="V16" s="9">
        <v>3.0552977354945963</v>
      </c>
      <c r="W16" s="9">
        <v>0</v>
      </c>
      <c r="X16" s="9">
        <v>5.4347431094682177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10.634306125785887</v>
      </c>
      <c r="AE16" s="9">
        <v>0</v>
      </c>
      <c r="AF16" s="9">
        <v>0</v>
      </c>
      <c r="AG16" s="9">
        <v>0</v>
      </c>
      <c r="AH16" s="9">
        <v>6.2210153174785248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4.2453816591143649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4.6088286563649783</v>
      </c>
      <c r="BA16" s="9">
        <v>0</v>
      </c>
      <c r="BB16" s="9">
        <v>5.3841613411924092</v>
      </c>
      <c r="BC16" s="9">
        <v>0</v>
      </c>
      <c r="BD16" s="10"/>
      <c r="BE16" s="10"/>
      <c r="BF16" s="10"/>
      <c r="BG16" s="10"/>
      <c r="BH16" s="10"/>
    </row>
    <row r="17" spans="1:195" ht="15.75" customHeight="1" x14ac:dyDescent="0.3">
      <c r="A17" s="11" t="s">
        <v>473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5.531438844896198</v>
      </c>
      <c r="T17" s="9">
        <v>0</v>
      </c>
      <c r="U17" s="9">
        <v>4.9515608061278584</v>
      </c>
      <c r="V17" s="9">
        <v>0</v>
      </c>
      <c r="W17" s="9">
        <v>4.3507595077217527</v>
      </c>
      <c r="X17" s="9">
        <v>0</v>
      </c>
      <c r="Y17" s="9">
        <v>11.427954919559538</v>
      </c>
      <c r="Z17" s="9">
        <v>0</v>
      </c>
      <c r="AA17" s="9">
        <v>7.9193960208492138</v>
      </c>
      <c r="AB17" s="9">
        <v>0</v>
      </c>
      <c r="AC17" s="9">
        <v>6.5305583228633521</v>
      </c>
      <c r="AD17" s="9">
        <v>0</v>
      </c>
      <c r="AE17" s="9">
        <v>9.818096991113876</v>
      </c>
      <c r="AF17" s="9">
        <v>0</v>
      </c>
      <c r="AG17" s="9">
        <v>10.885733769363762</v>
      </c>
      <c r="AH17" s="9">
        <v>0</v>
      </c>
      <c r="AI17" s="9">
        <v>9.5854802049358483</v>
      </c>
      <c r="AJ17" s="9">
        <v>0</v>
      </c>
      <c r="AK17" s="9">
        <v>8.5383510275254064</v>
      </c>
      <c r="AL17" s="9">
        <v>0</v>
      </c>
      <c r="AM17" s="9">
        <v>9.9894969489465062</v>
      </c>
      <c r="AN17" s="9">
        <v>0</v>
      </c>
      <c r="AO17" s="9">
        <v>8.7664172081854392</v>
      </c>
      <c r="AP17" s="9">
        <v>0</v>
      </c>
      <c r="AQ17" s="9">
        <v>7.1262090197549881</v>
      </c>
      <c r="AR17" s="9">
        <v>0</v>
      </c>
      <c r="AS17" s="9">
        <v>7.1828106560163603</v>
      </c>
      <c r="AT17" s="9">
        <v>0</v>
      </c>
      <c r="AU17" s="9">
        <v>7.6139840298052865</v>
      </c>
      <c r="AV17" s="9">
        <v>0</v>
      </c>
      <c r="AW17" s="9">
        <v>11.466335466497179</v>
      </c>
      <c r="AX17" s="9">
        <v>0</v>
      </c>
      <c r="AY17" s="9">
        <v>9.8867084837976389</v>
      </c>
      <c r="AZ17" s="9">
        <v>0</v>
      </c>
      <c r="BA17" s="9">
        <v>7.0436467967206822</v>
      </c>
      <c r="BB17" s="9">
        <v>0</v>
      </c>
      <c r="BC17" s="9">
        <v>6.7903042024012708</v>
      </c>
      <c r="BD17" s="10"/>
      <c r="BE17" s="10"/>
      <c r="BF17" s="10"/>
      <c r="BG17" s="10"/>
      <c r="BH17" s="10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</row>
    <row r="18" spans="1:195" ht="15.75" customHeight="1" x14ac:dyDescent="0.3">
      <c r="A18" s="11" t="s">
        <v>454</v>
      </c>
      <c r="B18" s="9">
        <v>0.30471017228664798</v>
      </c>
      <c r="C18" s="9">
        <v>0.42851412583222759</v>
      </c>
      <c r="D18" s="9">
        <v>0.31912200945433972</v>
      </c>
      <c r="E18" s="9">
        <v>0.21235783997454349</v>
      </c>
      <c r="F18" s="9">
        <v>0.2342164779083703</v>
      </c>
      <c r="G18" s="9">
        <v>0.24547999978609192</v>
      </c>
      <c r="H18" s="9">
        <v>0.8</v>
      </c>
      <c r="I18" s="9">
        <v>0.25375046215826863</v>
      </c>
      <c r="J18" s="9">
        <v>0.1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383.33569042694381</v>
      </c>
      <c r="S18" s="9">
        <v>124.29289023757194</v>
      </c>
      <c r="T18" s="9">
        <v>387.19423973899734</v>
      </c>
      <c r="U18" s="9">
        <v>124.25467613343453</v>
      </c>
      <c r="V18" s="9">
        <v>283.4578490673058</v>
      </c>
      <c r="W18" s="9">
        <v>145.57678987532444</v>
      </c>
      <c r="X18" s="9">
        <v>352.75259572742851</v>
      </c>
      <c r="Y18" s="9">
        <v>120.31303558516497</v>
      </c>
      <c r="Z18" s="9">
        <v>275.82781513797158</v>
      </c>
      <c r="AA18" s="9">
        <v>92.772395849191696</v>
      </c>
      <c r="AB18" s="9">
        <v>212.71380079557514</v>
      </c>
      <c r="AC18" s="9">
        <v>183.42841639051889</v>
      </c>
      <c r="AD18" s="9">
        <v>252.57867318224694</v>
      </c>
      <c r="AE18" s="9">
        <v>206.51011458609705</v>
      </c>
      <c r="AF18" s="9">
        <v>321.54242657549611</v>
      </c>
      <c r="AG18" s="9">
        <v>181.72984010146197</v>
      </c>
      <c r="AH18" s="9">
        <v>367.19847862395841</v>
      </c>
      <c r="AI18" s="9">
        <v>183.79182721789212</v>
      </c>
      <c r="AJ18" s="9">
        <v>238.69692667424147</v>
      </c>
      <c r="AK18" s="9">
        <v>143.26768096952281</v>
      </c>
      <c r="AL18" s="9">
        <v>373.15871279345447</v>
      </c>
      <c r="AM18" s="9">
        <v>234.51701457720921</v>
      </c>
      <c r="AN18" s="9">
        <v>332.96215180759788</v>
      </c>
      <c r="AO18" s="9">
        <v>150.75405479612138</v>
      </c>
      <c r="AP18" s="9">
        <v>266.85832631882522</v>
      </c>
      <c r="AQ18" s="9">
        <v>194.84502940037953</v>
      </c>
      <c r="AR18" s="9">
        <v>413.3492911790384</v>
      </c>
      <c r="AS18" s="9">
        <v>139.14539830445344</v>
      </c>
      <c r="AT18" s="9">
        <v>625.57449486642076</v>
      </c>
      <c r="AU18" s="9">
        <v>222.19640380382643</v>
      </c>
      <c r="AV18" s="9">
        <v>323.58238052813152</v>
      </c>
      <c r="AW18" s="9">
        <v>164.6158161870728</v>
      </c>
      <c r="AX18" s="9">
        <v>334.70375815700385</v>
      </c>
      <c r="AY18" s="9">
        <v>139.01640169847073</v>
      </c>
      <c r="AZ18" s="9">
        <v>472.42064932804851</v>
      </c>
      <c r="BA18" s="9">
        <v>130.33194429539972</v>
      </c>
      <c r="BB18" s="9">
        <v>431.71609519030181</v>
      </c>
      <c r="BC18" s="9">
        <v>129.77146644225158</v>
      </c>
      <c r="BD18" s="10"/>
      <c r="BE18" s="10"/>
      <c r="BF18" s="10"/>
      <c r="BG18" s="10"/>
      <c r="BH18" s="10"/>
    </row>
    <row r="19" spans="1:195" ht="15.75" customHeight="1" x14ac:dyDescent="0.3">
      <c r="A19" s="11" t="s">
        <v>544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16.529270870599699</v>
      </c>
      <c r="S19" s="9">
        <v>6.5473475822775313</v>
      </c>
      <c r="T19" s="9">
        <v>3.5483989340674476</v>
      </c>
      <c r="U19" s="9">
        <v>6.8690264226150193</v>
      </c>
      <c r="V19" s="9">
        <v>14.225422400615102</v>
      </c>
      <c r="W19" s="9">
        <v>7.1460460687153757</v>
      </c>
      <c r="X19" s="9">
        <v>3.0339164949191813</v>
      </c>
      <c r="Y19" s="9">
        <v>9.1980897107835276</v>
      </c>
      <c r="Z19" s="9">
        <v>12.384249606099848</v>
      </c>
      <c r="AA19" s="9">
        <v>6.131520499871332</v>
      </c>
      <c r="AB19" s="9">
        <v>12.340040788926624</v>
      </c>
      <c r="AC19" s="9">
        <v>9.7148734347893413</v>
      </c>
      <c r="AD19" s="9">
        <v>2.3345789260046526</v>
      </c>
      <c r="AE19" s="9">
        <v>10.02150237217192</v>
      </c>
      <c r="AF19" s="9">
        <v>13.425931659226244</v>
      </c>
      <c r="AG19" s="9">
        <v>11.62247287620557</v>
      </c>
      <c r="AH19" s="9">
        <v>3.0052982936048687</v>
      </c>
      <c r="AI19" s="9">
        <v>13.38133248539827</v>
      </c>
      <c r="AJ19" s="9">
        <v>11.882093945114697</v>
      </c>
      <c r="AK19" s="9">
        <v>8.4801611041543463</v>
      </c>
      <c r="AL19" s="9">
        <v>16.885882580824799</v>
      </c>
      <c r="AM19" s="9">
        <v>10.819145320903493</v>
      </c>
      <c r="AN19" s="9">
        <v>12.769285390013581</v>
      </c>
      <c r="AO19" s="9">
        <v>8.6696533857705536</v>
      </c>
      <c r="AP19" s="9">
        <v>12.052292831865485</v>
      </c>
      <c r="AQ19" s="9">
        <v>9.6859635631719865</v>
      </c>
      <c r="AR19" s="9">
        <v>4.1454174710786917</v>
      </c>
      <c r="AS19" s="9">
        <v>7.1759985410015545</v>
      </c>
      <c r="AT19" s="9">
        <v>6.4188337061709468</v>
      </c>
      <c r="AU19" s="9">
        <v>10.205140440750455</v>
      </c>
      <c r="AV19" s="9">
        <v>14.777973652982169</v>
      </c>
      <c r="AW19" s="9">
        <v>10.350430629378501</v>
      </c>
      <c r="AX19" s="9">
        <v>15.549708250154049</v>
      </c>
      <c r="AY19" s="9">
        <v>8.8342955347596117</v>
      </c>
      <c r="AZ19" s="9">
        <v>4.5182796590840661</v>
      </c>
      <c r="BA19" s="9">
        <v>6.7341206239564322</v>
      </c>
      <c r="BB19" s="9">
        <v>3.2766717650765536</v>
      </c>
      <c r="BC19" s="9">
        <v>6.8554141928771246</v>
      </c>
      <c r="BD19" s="10"/>
      <c r="BE19" s="10"/>
      <c r="BF19" s="10"/>
      <c r="BG19" s="10"/>
      <c r="BH19" s="10"/>
    </row>
    <row r="20" spans="1:195" ht="15.75" customHeight="1" x14ac:dyDescent="0.3">
      <c r="A20" s="11" t="s">
        <v>545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19.103043616172851</v>
      </c>
      <c r="T20" s="9">
        <v>0</v>
      </c>
      <c r="U20" s="9">
        <v>17.717181747787727</v>
      </c>
      <c r="V20" s="9">
        <v>0</v>
      </c>
      <c r="W20" s="9">
        <v>18.084953206265954</v>
      </c>
      <c r="X20" s="9">
        <v>0</v>
      </c>
      <c r="Y20" s="9">
        <v>39.923328293902927</v>
      </c>
      <c r="Z20" s="9">
        <v>0</v>
      </c>
      <c r="AA20" s="9">
        <v>25.406145277585647</v>
      </c>
      <c r="AB20" s="9">
        <v>0</v>
      </c>
      <c r="AC20" s="9">
        <v>27.897810229322161</v>
      </c>
      <c r="AD20" s="9">
        <v>0</v>
      </c>
      <c r="AE20" s="9">
        <v>34.042010150154482</v>
      </c>
      <c r="AF20" s="9">
        <v>0</v>
      </c>
      <c r="AG20" s="9">
        <v>40.990976061798115</v>
      </c>
      <c r="AH20" s="9">
        <v>0</v>
      </c>
      <c r="AI20" s="9">
        <v>36.670123925670829</v>
      </c>
      <c r="AJ20" s="9">
        <v>0</v>
      </c>
      <c r="AK20" s="9">
        <v>30.417140016744128</v>
      </c>
      <c r="AL20" s="9">
        <v>0</v>
      </c>
      <c r="AM20" s="9">
        <v>19.701382189622624</v>
      </c>
      <c r="AN20" s="9">
        <v>0</v>
      </c>
      <c r="AO20" s="9">
        <v>32.622243763559844</v>
      </c>
      <c r="AP20" s="9">
        <v>0</v>
      </c>
      <c r="AQ20" s="9">
        <v>31.671627553432671</v>
      </c>
      <c r="AR20" s="9">
        <v>0</v>
      </c>
      <c r="AS20" s="9">
        <v>25.640519392465194</v>
      </c>
      <c r="AT20" s="9">
        <v>0</v>
      </c>
      <c r="AU20" s="9">
        <v>35.269584896621801</v>
      </c>
      <c r="AV20" s="9">
        <v>0</v>
      </c>
      <c r="AW20" s="9">
        <v>32.819412012206108</v>
      </c>
      <c r="AX20" s="9">
        <v>0</v>
      </c>
      <c r="AY20" s="9">
        <v>36.413195904208031</v>
      </c>
      <c r="AZ20" s="9">
        <v>0</v>
      </c>
      <c r="BA20" s="9">
        <v>24.202031638093445</v>
      </c>
      <c r="BB20" s="9">
        <v>0</v>
      </c>
      <c r="BC20" s="9">
        <v>26.883434816901417</v>
      </c>
      <c r="BD20" s="10"/>
      <c r="BE20" s="10"/>
      <c r="BF20" s="10"/>
      <c r="BG20" s="10"/>
      <c r="BH20" s="10"/>
    </row>
    <row r="21" spans="1:195" ht="15.75" customHeight="1" x14ac:dyDescent="0.3">
      <c r="A21" s="11" t="s">
        <v>550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1.9759454993812957</v>
      </c>
      <c r="T21" s="9">
        <v>0</v>
      </c>
      <c r="U21" s="9">
        <v>1.6808100632610372</v>
      </c>
      <c r="V21" s="9">
        <v>0</v>
      </c>
      <c r="W21" s="9">
        <v>1.4717822329896817</v>
      </c>
      <c r="X21" s="9">
        <v>0</v>
      </c>
      <c r="Y21" s="9">
        <v>4.6980052641597618</v>
      </c>
      <c r="Z21" s="9">
        <v>0</v>
      </c>
      <c r="AA21" s="9">
        <v>2.9143860371466865</v>
      </c>
      <c r="AB21" s="9">
        <v>0</v>
      </c>
      <c r="AC21" s="9">
        <v>1.7811177659308626</v>
      </c>
      <c r="AD21" s="9">
        <v>0</v>
      </c>
      <c r="AE21" s="9">
        <v>2.5755900694680984</v>
      </c>
      <c r="AF21" s="9">
        <v>0</v>
      </c>
      <c r="AG21" s="9">
        <v>4.006153626728298</v>
      </c>
      <c r="AH21" s="9">
        <v>0</v>
      </c>
      <c r="AI21" s="9">
        <v>3.3823235543873871</v>
      </c>
      <c r="AJ21" s="9">
        <v>0</v>
      </c>
      <c r="AK21" s="9">
        <v>3.3711069573260741</v>
      </c>
      <c r="AL21" s="9">
        <v>0</v>
      </c>
      <c r="AM21" s="9">
        <v>0</v>
      </c>
      <c r="AN21" s="9">
        <v>0</v>
      </c>
      <c r="AO21" s="9">
        <v>3.9745720023706603</v>
      </c>
      <c r="AP21" s="9">
        <v>0</v>
      </c>
      <c r="AQ21" s="9">
        <v>3.1200921181830235</v>
      </c>
      <c r="AR21" s="9">
        <v>0</v>
      </c>
      <c r="AS21" s="9">
        <v>4.0720052621353551</v>
      </c>
      <c r="AT21" s="9">
        <v>0</v>
      </c>
      <c r="AU21" s="9">
        <v>3.2034813657691519</v>
      </c>
      <c r="AV21" s="9">
        <v>0</v>
      </c>
      <c r="AW21" s="9">
        <v>2.3668391197238949</v>
      </c>
      <c r="AX21" s="9">
        <v>0</v>
      </c>
      <c r="AY21" s="9">
        <v>2.8095574653586382</v>
      </c>
      <c r="AZ21" s="9">
        <v>0</v>
      </c>
      <c r="BA21" s="9">
        <v>4.7735247809485166</v>
      </c>
      <c r="BB21" s="9">
        <v>0</v>
      </c>
      <c r="BC21" s="9">
        <v>4.6875322734288947</v>
      </c>
      <c r="BD21" s="10"/>
      <c r="BE21" s="10"/>
      <c r="BF21" s="10"/>
      <c r="BG21" s="10"/>
      <c r="BH21" s="10"/>
    </row>
    <row r="22" spans="1:195" ht="15.75" customHeight="1" x14ac:dyDescent="0.3">
      <c r="A22" s="11" t="s">
        <v>546</v>
      </c>
      <c r="B22" s="9">
        <v>19.169185173559139</v>
      </c>
      <c r="C22" s="9">
        <v>17.554824770858257</v>
      </c>
      <c r="D22" s="9">
        <v>15.684293266752482</v>
      </c>
      <c r="E22" s="9">
        <v>15.1135772408463</v>
      </c>
      <c r="F22" s="9">
        <v>12.8</v>
      </c>
      <c r="G22" s="9">
        <v>16.164491189303238</v>
      </c>
      <c r="H22" s="9">
        <v>25.953227130687367</v>
      </c>
      <c r="I22" s="9">
        <v>17.077530819635953</v>
      </c>
      <c r="J22" s="9">
        <v>15.376982719801925</v>
      </c>
      <c r="K22" s="9">
        <v>16.406017661933721</v>
      </c>
      <c r="L22" s="9">
        <v>14.7</v>
      </c>
      <c r="M22" s="9">
        <v>16.008762702257712</v>
      </c>
      <c r="N22" s="9">
        <v>26.174133108270151</v>
      </c>
      <c r="O22" s="9">
        <v>27.840637780096788</v>
      </c>
      <c r="P22" s="9">
        <v>16</v>
      </c>
      <c r="Q22" s="9">
        <v>16.233333333333334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</row>
    <row r="23" spans="1:195" ht="15.75" customHeight="1" x14ac:dyDescent="0.3">
      <c r="A23" s="11" t="s">
        <v>477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13.288541677742268</v>
      </c>
      <c r="T23" s="9">
        <v>0</v>
      </c>
      <c r="U23" s="9">
        <v>12.037021895663621</v>
      </c>
      <c r="V23" s="9">
        <v>0</v>
      </c>
      <c r="W23" s="9">
        <v>10.686711225547194</v>
      </c>
      <c r="X23" s="9">
        <v>0</v>
      </c>
      <c r="Y23" s="9">
        <v>18.034286776624594</v>
      </c>
      <c r="Z23" s="9">
        <v>0</v>
      </c>
      <c r="AA23" s="9">
        <v>12.722013785567732</v>
      </c>
      <c r="AB23" s="9">
        <v>0</v>
      </c>
      <c r="AC23" s="9">
        <v>5.6689349280817849</v>
      </c>
      <c r="AD23" s="9">
        <v>0</v>
      </c>
      <c r="AE23" s="9">
        <v>16.742851865111486</v>
      </c>
      <c r="AF23" s="9">
        <v>0</v>
      </c>
      <c r="AG23" s="9">
        <v>17.365859297386937</v>
      </c>
      <c r="AH23" s="9">
        <v>0</v>
      </c>
      <c r="AI23" s="9">
        <v>16.025133781507936</v>
      </c>
      <c r="AJ23" s="9">
        <v>0</v>
      </c>
      <c r="AK23" s="9">
        <v>16.22140091035843</v>
      </c>
      <c r="AL23" s="9">
        <v>0</v>
      </c>
      <c r="AM23" s="9">
        <v>10.935241195298465</v>
      </c>
      <c r="AN23" s="9">
        <v>0</v>
      </c>
      <c r="AO23" s="9">
        <v>18.331074090419758</v>
      </c>
      <c r="AP23" s="9">
        <v>0</v>
      </c>
      <c r="AQ23" s="9">
        <v>15.859078463589915</v>
      </c>
      <c r="AR23" s="9">
        <v>0</v>
      </c>
      <c r="AS23" s="9">
        <v>27.224649036001779</v>
      </c>
      <c r="AT23" s="9">
        <v>0</v>
      </c>
      <c r="AU23" s="9">
        <v>15.577055488761836</v>
      </c>
      <c r="AV23" s="9">
        <v>0</v>
      </c>
      <c r="AW23" s="9">
        <v>13.569410946012454</v>
      </c>
      <c r="AX23" s="9">
        <v>0</v>
      </c>
      <c r="AY23" s="9">
        <v>13.797880073877758</v>
      </c>
      <c r="AZ23" s="9">
        <v>0</v>
      </c>
      <c r="BA23" s="9">
        <v>28.534650066606435</v>
      </c>
      <c r="BB23" s="9">
        <v>0</v>
      </c>
      <c r="BC23" s="9">
        <v>25.703707564567424</v>
      </c>
    </row>
    <row r="24" spans="1:195" ht="15.75" customHeight="1" x14ac:dyDescent="0.3">
      <c r="A24" s="11" t="s">
        <v>475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7.3138951382143702</v>
      </c>
      <c r="S24" s="9">
        <v>0</v>
      </c>
      <c r="T24" s="9">
        <v>4.5205437328013254</v>
      </c>
      <c r="U24" s="9">
        <v>0</v>
      </c>
      <c r="V24" s="9">
        <v>4.535499941977398</v>
      </c>
      <c r="W24" s="9">
        <v>0</v>
      </c>
      <c r="X24" s="9">
        <v>5.5376821632691628</v>
      </c>
      <c r="Y24" s="9">
        <v>0</v>
      </c>
      <c r="Z24" s="9">
        <v>4.1516150033999599</v>
      </c>
      <c r="AA24" s="9">
        <v>0</v>
      </c>
      <c r="AB24" s="9">
        <v>4.8412608574151141</v>
      </c>
      <c r="AC24" s="9">
        <v>0</v>
      </c>
      <c r="AD24" s="9">
        <v>0</v>
      </c>
      <c r="AE24" s="9">
        <v>0</v>
      </c>
      <c r="AF24" s="9">
        <v>8.6853137860374474</v>
      </c>
      <c r="AG24" s="9">
        <v>0</v>
      </c>
      <c r="AH24" s="9">
        <v>4.5192282763911127</v>
      </c>
      <c r="AI24" s="9">
        <v>0</v>
      </c>
      <c r="AJ24" s="9">
        <v>6.8195833896352758</v>
      </c>
      <c r="AK24" s="9">
        <v>0</v>
      </c>
      <c r="AL24" s="9">
        <v>7.5287913048414969</v>
      </c>
      <c r="AM24" s="9">
        <v>0</v>
      </c>
      <c r="AN24" s="9">
        <v>9.7655711537013676</v>
      </c>
      <c r="AO24" s="9">
        <v>0</v>
      </c>
      <c r="AP24" s="9">
        <v>7.5714897181505565</v>
      </c>
      <c r="AQ24" s="9">
        <v>0</v>
      </c>
      <c r="AR24" s="9">
        <v>19.278059725728088</v>
      </c>
      <c r="AS24" s="9">
        <v>1.8726204186711037</v>
      </c>
      <c r="AT24" s="9">
        <v>7.8416834725740987</v>
      </c>
      <c r="AU24" s="9">
        <v>0</v>
      </c>
      <c r="AV24" s="9">
        <v>6.4743148304278675</v>
      </c>
      <c r="AW24" s="9">
        <v>0</v>
      </c>
      <c r="AX24" s="9">
        <v>6.3231110845211296</v>
      </c>
      <c r="AY24" s="9">
        <v>0</v>
      </c>
      <c r="AZ24" s="9">
        <v>17.208495367999291</v>
      </c>
      <c r="BA24" s="9">
        <v>2.6942893066935878</v>
      </c>
      <c r="BB24" s="9">
        <v>18.299911690753273</v>
      </c>
      <c r="BC24" s="9">
        <v>0</v>
      </c>
      <c r="BD24" s="10"/>
      <c r="BE24" s="10"/>
      <c r="BF24" s="10"/>
      <c r="BG24" s="10"/>
      <c r="BH24" s="10"/>
    </row>
    <row r="25" spans="1:195" ht="15.75" customHeight="1" x14ac:dyDescent="0.3">
      <c r="A25" s="11" t="s">
        <v>476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13.153986911915409</v>
      </c>
      <c r="S25" s="9">
        <v>0</v>
      </c>
      <c r="T25" s="9">
        <v>15.640809902610075</v>
      </c>
      <c r="U25" s="9">
        <v>0</v>
      </c>
      <c r="V25" s="9">
        <v>13.284980612554563</v>
      </c>
      <c r="W25" s="9">
        <v>0</v>
      </c>
      <c r="X25" s="9">
        <v>21.688441174981207</v>
      </c>
      <c r="Y25" s="9">
        <v>0</v>
      </c>
      <c r="Z25" s="9">
        <v>13.930911449105587</v>
      </c>
      <c r="AA25" s="9">
        <v>0</v>
      </c>
      <c r="AB25" s="9">
        <v>14.588659677768957</v>
      </c>
      <c r="AC25" s="9">
        <v>0</v>
      </c>
      <c r="AD25" s="9">
        <v>15.323599354633719</v>
      </c>
      <c r="AE25" s="9">
        <v>0</v>
      </c>
      <c r="AF25" s="9">
        <v>16.984372710824037</v>
      </c>
      <c r="AG25" s="9">
        <v>0</v>
      </c>
      <c r="AH25" s="9">
        <v>17.698965653910275</v>
      </c>
      <c r="AI25" s="9">
        <v>0</v>
      </c>
      <c r="AJ25" s="9">
        <v>17.737618862056351</v>
      </c>
      <c r="AK25" s="9">
        <v>0</v>
      </c>
      <c r="AL25" s="9">
        <v>12.154060284792779</v>
      </c>
      <c r="AM25" s="9">
        <v>0</v>
      </c>
      <c r="AN25" s="9">
        <v>18.192359837959444</v>
      </c>
      <c r="AO25" s="9">
        <v>0</v>
      </c>
      <c r="AP25" s="9">
        <v>18.423171870307701</v>
      </c>
      <c r="AQ25" s="9">
        <v>0</v>
      </c>
      <c r="AR25" s="9">
        <v>23.303073655992179</v>
      </c>
      <c r="AS25" s="9">
        <v>1.7515966664433993</v>
      </c>
      <c r="AT25" s="9">
        <v>7.1600811345394337</v>
      </c>
      <c r="AU25" s="9">
        <v>0</v>
      </c>
      <c r="AV25" s="9">
        <v>16.470057399563185</v>
      </c>
      <c r="AW25" s="9">
        <v>0</v>
      </c>
      <c r="AX25" s="9">
        <v>15.442325102238485</v>
      </c>
      <c r="AY25" s="9">
        <v>0</v>
      </c>
      <c r="AZ25" s="9">
        <v>16.779019374035368</v>
      </c>
      <c r="BA25" s="9">
        <v>2.8472484453306528</v>
      </c>
      <c r="BB25" s="9">
        <v>21.08331498216279</v>
      </c>
      <c r="BC25" s="9">
        <v>0</v>
      </c>
    </row>
    <row r="26" spans="1:195" ht="15.75" customHeight="1" x14ac:dyDescent="0.3">
      <c r="A26" s="11" t="s">
        <v>458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38.450344323302829</v>
      </c>
      <c r="S26" s="9">
        <v>14.871793247810418</v>
      </c>
      <c r="T26" s="9">
        <v>35.538148703689586</v>
      </c>
      <c r="U26" s="9">
        <v>13.982458312478448</v>
      </c>
      <c r="V26" s="9">
        <v>22.118191230333711</v>
      </c>
      <c r="W26" s="9">
        <v>13.444642136473382</v>
      </c>
      <c r="X26" s="9">
        <v>34.304769244183603</v>
      </c>
      <c r="Y26" s="9">
        <v>15.681053431674952</v>
      </c>
      <c r="Z26" s="9">
        <v>27.17658611440595</v>
      </c>
      <c r="AA26" s="9">
        <v>10.805572588807651</v>
      </c>
      <c r="AB26" s="9">
        <v>11.69892962309712</v>
      </c>
      <c r="AC26" s="9">
        <v>14.764907243200303</v>
      </c>
      <c r="AD26" s="9">
        <v>17.239191198048786</v>
      </c>
      <c r="AE26" s="9">
        <v>18.857794988071902</v>
      </c>
      <c r="AF26" s="9">
        <v>28.577202903063057</v>
      </c>
      <c r="AG26" s="9">
        <v>19.093073645337366</v>
      </c>
      <c r="AH26" s="9">
        <v>30.087210119538014</v>
      </c>
      <c r="AI26" s="9">
        <v>18.600749819165426</v>
      </c>
      <c r="AJ26" s="9">
        <v>21.348060166673775</v>
      </c>
      <c r="AK26" s="9">
        <v>16.642508558219802</v>
      </c>
      <c r="AL26" s="9">
        <v>33.051820111012653</v>
      </c>
      <c r="AM26" s="9">
        <v>18.85002571050855</v>
      </c>
      <c r="AN26" s="9">
        <v>34.421927025801971</v>
      </c>
      <c r="AO26" s="9">
        <v>19.296485231227862</v>
      </c>
      <c r="AP26" s="9">
        <v>21.598214032157429</v>
      </c>
      <c r="AQ26" s="9">
        <v>20.652396005832014</v>
      </c>
      <c r="AR26" s="9">
        <v>58.58857690472766</v>
      </c>
      <c r="AS26" s="9">
        <v>29.021681532237761</v>
      </c>
      <c r="AT26" s="9">
        <v>47.306156983274448</v>
      </c>
      <c r="AU26" s="9">
        <v>23.191992641026065</v>
      </c>
      <c r="AV26" s="9">
        <v>23.243094411745975</v>
      </c>
      <c r="AW26" s="9">
        <v>14.48303139416152</v>
      </c>
      <c r="AX26" s="9">
        <v>25.074806603340296</v>
      </c>
      <c r="AY26" s="9">
        <v>13.393310823330248</v>
      </c>
      <c r="AZ26" s="9">
        <v>74.775319011697334</v>
      </c>
      <c r="BA26" s="9">
        <v>33.049945227246347</v>
      </c>
      <c r="BB26" s="9">
        <v>65.651786210315933</v>
      </c>
      <c r="BC26" s="9">
        <v>30.824436014554678</v>
      </c>
      <c r="BD26" s="10"/>
      <c r="BE26" s="10"/>
      <c r="BF26" s="10"/>
      <c r="BG26" s="10"/>
      <c r="BH26" s="10"/>
    </row>
    <row r="27" spans="1:195" ht="15.75" customHeight="1" x14ac:dyDescent="0.3">
      <c r="A27" s="11" t="s">
        <v>474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0.8784395169491056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1.8588262802287849</v>
      </c>
      <c r="BC27" s="9">
        <v>0</v>
      </c>
    </row>
    <row r="28" spans="1:195" ht="15.75" customHeight="1" x14ac:dyDescent="0.3">
      <c r="A28" s="11" t="s">
        <v>479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12.135334611964536</v>
      </c>
      <c r="S28" s="9">
        <v>0</v>
      </c>
      <c r="T28" s="9">
        <v>16.241555888310696</v>
      </c>
      <c r="U28" s="9">
        <v>0</v>
      </c>
      <c r="V28" s="9">
        <v>17.824255649233042</v>
      </c>
      <c r="W28" s="9">
        <v>0</v>
      </c>
      <c r="X28" s="9">
        <v>12.49994761669535</v>
      </c>
      <c r="Y28" s="9">
        <v>0</v>
      </c>
      <c r="Z28" s="9">
        <v>6.5705797036186633</v>
      </c>
      <c r="AA28" s="9">
        <v>0</v>
      </c>
      <c r="AB28" s="9">
        <v>10.992969906283577</v>
      </c>
      <c r="AC28" s="9">
        <v>0</v>
      </c>
      <c r="AD28" s="9">
        <v>11.019165713281042</v>
      </c>
      <c r="AE28" s="9">
        <v>0</v>
      </c>
      <c r="AF28" s="9">
        <v>13.437692916856898</v>
      </c>
      <c r="AG28" s="9">
        <v>0</v>
      </c>
      <c r="AH28" s="9">
        <v>14.884835435425698</v>
      </c>
      <c r="AI28" s="9">
        <v>0</v>
      </c>
      <c r="AJ28" s="9">
        <v>14.955269223970092</v>
      </c>
      <c r="AK28" s="9">
        <v>0</v>
      </c>
      <c r="AL28" s="9">
        <v>13.167303709191261</v>
      </c>
      <c r="AM28" s="9">
        <v>0</v>
      </c>
      <c r="AN28" s="9">
        <v>11.175516697592514</v>
      </c>
      <c r="AO28" s="9">
        <v>0</v>
      </c>
      <c r="AP28" s="9">
        <v>13.244528868151896</v>
      </c>
      <c r="AQ28" s="9">
        <v>0</v>
      </c>
      <c r="AR28" s="9">
        <v>7.8246516634541017</v>
      </c>
      <c r="AS28" s="9">
        <v>2.0139306408409783</v>
      </c>
      <c r="AT28" s="9">
        <v>4.2148185228774784</v>
      </c>
      <c r="AU28" s="9">
        <v>0</v>
      </c>
      <c r="AV28" s="9">
        <v>9.7966927138146112</v>
      </c>
      <c r="AW28" s="9">
        <v>0</v>
      </c>
      <c r="AX28" s="9">
        <v>9.7274284261158108</v>
      </c>
      <c r="AY28" s="9">
        <v>0</v>
      </c>
      <c r="AZ28" s="9">
        <v>9.5063828750142871</v>
      </c>
      <c r="BA28" s="9">
        <v>0</v>
      </c>
      <c r="BB28" s="9">
        <v>10.241165567491384</v>
      </c>
      <c r="BC28" s="9">
        <v>0</v>
      </c>
    </row>
    <row r="29" spans="1:195" ht="15.75" customHeight="1" x14ac:dyDescent="0.3">
      <c r="A29" s="11" t="s">
        <v>540</v>
      </c>
      <c r="B29" s="9">
        <v>10.351387265494212</v>
      </c>
      <c r="C29" s="9">
        <v>12.247386050046963</v>
      </c>
      <c r="D29" s="9">
        <v>10.57555623590474</v>
      </c>
      <c r="E29" s="9">
        <v>10.268499697835976</v>
      </c>
      <c r="F29" s="9">
        <v>9.5525135322398089</v>
      </c>
      <c r="G29" s="9">
        <v>11.141494249088543</v>
      </c>
      <c r="H29" s="9">
        <v>16.837951418575194</v>
      </c>
      <c r="I29" s="9">
        <v>9.1109227968894118</v>
      </c>
      <c r="J29" s="9">
        <v>7.2530090179909683</v>
      </c>
      <c r="K29" s="9">
        <v>7.3818607267836684</v>
      </c>
      <c r="L29" s="9">
        <v>6.7333956166431461</v>
      </c>
      <c r="M29" s="9">
        <v>7.1610959975546935</v>
      </c>
      <c r="N29" s="9">
        <v>11.665715689942056</v>
      </c>
      <c r="O29" s="9">
        <v>14.080878558577608</v>
      </c>
      <c r="P29" s="9">
        <v>13.433333333333335</v>
      </c>
      <c r="Q29" s="9">
        <v>12.666666666666666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10"/>
      <c r="BE29" s="10"/>
      <c r="BF29" s="10"/>
      <c r="BG29" s="10"/>
      <c r="BH29" s="10"/>
    </row>
    <row r="30" spans="1:195" ht="15.75" customHeight="1" x14ac:dyDescent="0.3">
      <c r="A30" s="11" t="s">
        <v>478</v>
      </c>
      <c r="B30" s="9">
        <v>58.449372266547165</v>
      </c>
      <c r="C30" s="9">
        <v>70.416084228134537</v>
      </c>
      <c r="D30" s="9">
        <v>61.779611934211026</v>
      </c>
      <c r="E30" s="9">
        <v>53.615182841296509</v>
      </c>
      <c r="F30" s="9">
        <v>55.548260381786179</v>
      </c>
      <c r="G30" s="9">
        <v>58.752389215220006</v>
      </c>
      <c r="H30" s="9">
        <v>51.741256081373272</v>
      </c>
      <c r="I30" s="9">
        <v>54.989238182169366</v>
      </c>
      <c r="J30" s="9">
        <v>39.508165368139743</v>
      </c>
      <c r="K30" s="9">
        <v>35.583895215677614</v>
      </c>
      <c r="L30" s="9">
        <v>36.847632655421897</v>
      </c>
      <c r="M30" s="9">
        <v>35.770465458645397</v>
      </c>
      <c r="N30" s="9">
        <v>30.442830179310921</v>
      </c>
      <c r="O30" s="9">
        <v>38.346599662296228</v>
      </c>
      <c r="P30" s="9">
        <v>21.133333333333333</v>
      </c>
      <c r="Q30" s="9">
        <v>27.566666666666666</v>
      </c>
      <c r="R30" s="9">
        <v>6.115534751947469</v>
      </c>
      <c r="S30" s="9">
        <v>2.2331517251933675</v>
      </c>
      <c r="T30" s="9">
        <v>5.8662307488984489</v>
      </c>
      <c r="U30" s="9">
        <v>2.1255982890566671</v>
      </c>
      <c r="V30" s="9">
        <v>4.0149620486498421</v>
      </c>
      <c r="W30" s="9">
        <v>2.1463139792581796</v>
      </c>
      <c r="X30" s="9">
        <v>3.7372335587596051</v>
      </c>
      <c r="Y30" s="9">
        <v>1.8538443325421088</v>
      </c>
      <c r="Z30" s="9">
        <v>2.4522978497262606</v>
      </c>
      <c r="AA30" s="9">
        <v>0</v>
      </c>
      <c r="AB30" s="9">
        <v>2.0165025926183477</v>
      </c>
      <c r="AC30" s="9">
        <v>2.343438695417801</v>
      </c>
      <c r="AD30" s="9">
        <v>2.5456798419744757</v>
      </c>
      <c r="AE30" s="9">
        <v>2.4570058475043823</v>
      </c>
      <c r="AF30" s="9">
        <v>3.9613216883346247</v>
      </c>
      <c r="AG30" s="9">
        <v>2.6584404535985748</v>
      </c>
      <c r="AH30" s="9">
        <v>4.6402642985247287</v>
      </c>
      <c r="AI30" s="9">
        <v>2.6930214992013877</v>
      </c>
      <c r="AJ30" s="9">
        <v>2.8414322519030795</v>
      </c>
      <c r="AK30" s="9">
        <v>1.9580677835524352</v>
      </c>
      <c r="AL30" s="9">
        <v>7.2430190473357241</v>
      </c>
      <c r="AM30" s="9">
        <v>4.4963185922690485</v>
      </c>
      <c r="AN30" s="9">
        <v>3.6553075316018879</v>
      </c>
      <c r="AO30" s="9">
        <v>1.7432014123485153</v>
      </c>
      <c r="AP30" s="9">
        <v>2.6731133917044718</v>
      </c>
      <c r="AQ30" s="9">
        <v>1.8711333186985424</v>
      </c>
      <c r="AR30" s="9">
        <v>2.0047940564018405</v>
      </c>
      <c r="AS30" s="9">
        <v>0.53331239501852168</v>
      </c>
      <c r="AT30" s="9">
        <v>6.1267574393379949</v>
      </c>
      <c r="AU30" s="9">
        <v>2.4380900627872331</v>
      </c>
      <c r="AV30" s="9">
        <v>3.4557769954989617</v>
      </c>
      <c r="AW30" s="9">
        <v>2.4885526504730096</v>
      </c>
      <c r="AX30" s="9">
        <v>4.0385404399652334</v>
      </c>
      <c r="AY30" s="9">
        <v>2.6450722561790703</v>
      </c>
      <c r="AZ30" s="9">
        <v>3.3466075155334223</v>
      </c>
      <c r="BA30" s="9">
        <v>1.2094844227692987</v>
      </c>
      <c r="BB30" s="9">
        <v>2.5329325803586515</v>
      </c>
      <c r="BC30" s="9">
        <v>0.74564719447001071</v>
      </c>
      <c r="BD30" s="10"/>
      <c r="BE30" s="10"/>
      <c r="BF30" s="10"/>
      <c r="BG30" s="10"/>
      <c r="BH30" s="10"/>
    </row>
    <row r="31" spans="1:195" ht="15.75" customHeight="1" x14ac:dyDescent="0.3">
      <c r="A31" s="11" t="s">
        <v>498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2.7346519200177126</v>
      </c>
      <c r="T31" s="9">
        <v>0</v>
      </c>
      <c r="U31" s="9">
        <v>3.1670798672904876</v>
      </c>
      <c r="V31" s="9">
        <v>0</v>
      </c>
      <c r="W31" s="9">
        <v>3.6405046273132364</v>
      </c>
      <c r="X31" s="9">
        <v>0</v>
      </c>
      <c r="Y31" s="9">
        <v>2.5010471872670421</v>
      </c>
      <c r="Z31" s="9">
        <v>0</v>
      </c>
      <c r="AA31" s="9">
        <v>2.0697390301509366</v>
      </c>
      <c r="AB31" s="9">
        <v>0</v>
      </c>
      <c r="AC31" s="9">
        <v>4.2083041345889223</v>
      </c>
      <c r="AD31" s="9">
        <v>0</v>
      </c>
      <c r="AE31" s="9">
        <v>4.1741430130994708</v>
      </c>
      <c r="AF31" s="9">
        <v>0</v>
      </c>
      <c r="AG31" s="9">
        <v>3.3701887773316526</v>
      </c>
      <c r="AH31" s="9">
        <v>0</v>
      </c>
      <c r="AI31" s="9">
        <v>3.7713196947411576</v>
      </c>
      <c r="AJ31" s="9">
        <v>0</v>
      </c>
      <c r="AK31" s="9">
        <v>3.4513426399658407</v>
      </c>
      <c r="AL31" s="9">
        <v>0</v>
      </c>
      <c r="AM31" s="9">
        <v>4.1533349218064606</v>
      </c>
      <c r="AN31" s="9">
        <v>0</v>
      </c>
      <c r="AO31" s="9">
        <v>3.6508708541206727</v>
      </c>
      <c r="AP31" s="9">
        <v>0</v>
      </c>
      <c r="AQ31" s="9">
        <v>4.9689109340840334</v>
      </c>
      <c r="AR31" s="9">
        <v>0</v>
      </c>
      <c r="AS31" s="9">
        <v>4.7819748000449733</v>
      </c>
      <c r="AT31" s="9">
        <v>0</v>
      </c>
      <c r="AU31" s="9">
        <v>3.0800475503694194</v>
      </c>
      <c r="AV31" s="9">
        <v>0</v>
      </c>
      <c r="AW31" s="9">
        <v>3.9803197172014522</v>
      </c>
      <c r="AX31" s="9">
        <v>0</v>
      </c>
      <c r="AY31" s="9">
        <v>3.4285866421100528</v>
      </c>
      <c r="AZ31" s="9">
        <v>0</v>
      </c>
      <c r="BA31" s="9">
        <v>3.7710387142122035</v>
      </c>
      <c r="BB31" s="9">
        <v>0</v>
      </c>
      <c r="BC31" s="9">
        <v>3.7108081949677492</v>
      </c>
      <c r="BD31" s="10"/>
      <c r="BE31" s="10"/>
      <c r="BF31" s="10"/>
      <c r="BG31" s="10"/>
      <c r="BH31" s="10"/>
    </row>
    <row r="32" spans="1:195" ht="15.75" customHeight="1" x14ac:dyDescent="0.3">
      <c r="A32" s="11" t="s">
        <v>493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245.38186008012164</v>
      </c>
      <c r="S32" s="9">
        <v>25.004476751176952</v>
      </c>
      <c r="T32" s="9">
        <v>325.99295420681591</v>
      </c>
      <c r="U32" s="9">
        <v>29.178340017275588</v>
      </c>
      <c r="V32" s="9">
        <v>276.61000176034565</v>
      </c>
      <c r="W32" s="9">
        <v>34.333189809660716</v>
      </c>
      <c r="X32" s="9">
        <v>341.62842373998018</v>
      </c>
      <c r="Y32" s="9">
        <v>17.057317796515104</v>
      </c>
      <c r="Z32" s="9">
        <v>295.15580306684836</v>
      </c>
      <c r="AA32" s="9">
        <v>13.69308106322562</v>
      </c>
      <c r="AB32" s="9">
        <v>179.67082268188383</v>
      </c>
      <c r="AC32" s="9">
        <v>34.714994336161254</v>
      </c>
      <c r="AD32" s="9">
        <v>255.39772787887114</v>
      </c>
      <c r="AE32" s="9">
        <v>35.224976886383722</v>
      </c>
      <c r="AF32" s="9">
        <v>296.99078910151701</v>
      </c>
      <c r="AG32" s="9">
        <v>28.001097160537896</v>
      </c>
      <c r="AH32" s="9">
        <v>389.99851061537129</v>
      </c>
      <c r="AI32" s="9">
        <v>33.723452459938834</v>
      </c>
      <c r="AJ32" s="9">
        <v>257.82646245949655</v>
      </c>
      <c r="AK32" s="9">
        <v>27.868865424155938</v>
      </c>
      <c r="AL32" s="9">
        <v>360.01054252741233</v>
      </c>
      <c r="AM32" s="9">
        <v>49.533600101380195</v>
      </c>
      <c r="AN32" s="9">
        <v>312.09274051914616</v>
      </c>
      <c r="AO32" s="9">
        <v>30.090975797035949</v>
      </c>
      <c r="AP32" s="9">
        <v>260.50019843704604</v>
      </c>
      <c r="AQ32" s="9">
        <v>46.864694723425885</v>
      </c>
      <c r="AR32" s="9">
        <v>620.12078306022647</v>
      </c>
      <c r="AS32" s="9">
        <v>46.250446918526393</v>
      </c>
      <c r="AT32" s="9">
        <v>353.99258336284959</v>
      </c>
      <c r="AU32" s="9">
        <v>36.695179079824086</v>
      </c>
      <c r="AV32" s="9">
        <v>307.35451523923371</v>
      </c>
      <c r="AW32" s="9">
        <v>31.149337417852916</v>
      </c>
      <c r="AX32" s="9">
        <v>344.92284143774305</v>
      </c>
      <c r="AY32" s="9">
        <v>25.324285025270559</v>
      </c>
      <c r="AZ32" s="9">
        <v>563.72548632109465</v>
      </c>
      <c r="BA32" s="9">
        <v>35.209557752131666</v>
      </c>
      <c r="BB32" s="9">
        <v>598.19272649321658</v>
      </c>
      <c r="BC32" s="9">
        <v>39.08910958343116</v>
      </c>
      <c r="BD32" s="10"/>
      <c r="BE32" s="10"/>
      <c r="BF32" s="10"/>
      <c r="BG32" s="10"/>
      <c r="BH32" s="10"/>
    </row>
    <row r="33" spans="1:60" ht="15.75" customHeight="1" x14ac:dyDescent="0.3">
      <c r="A33" s="11" t="s">
        <v>554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6.9226210742067318</v>
      </c>
      <c r="S33" s="9">
        <v>0</v>
      </c>
      <c r="T33" s="9">
        <v>2.7572556012942031</v>
      </c>
      <c r="U33" s="9">
        <v>0</v>
      </c>
      <c r="V33" s="9">
        <v>7.8871235351897733</v>
      </c>
      <c r="W33" s="9">
        <v>0</v>
      </c>
      <c r="X33" s="9">
        <v>2.193837796762784</v>
      </c>
      <c r="Y33" s="9">
        <v>0</v>
      </c>
      <c r="Z33" s="9">
        <v>8.4997346316715081</v>
      </c>
      <c r="AA33" s="9">
        <v>0</v>
      </c>
      <c r="AB33" s="9">
        <v>7.1972409075516675</v>
      </c>
      <c r="AC33" s="9">
        <v>0</v>
      </c>
      <c r="AD33" s="9">
        <v>1.543438713240042</v>
      </c>
      <c r="AE33" s="9">
        <v>0</v>
      </c>
      <c r="AF33" s="9">
        <v>7.5159372789644783</v>
      </c>
      <c r="AG33" s="9">
        <v>0</v>
      </c>
      <c r="AH33" s="9">
        <v>3.0447866814960984</v>
      </c>
      <c r="AI33" s="9">
        <v>0</v>
      </c>
      <c r="AJ33" s="9">
        <v>7.8802992018766522</v>
      </c>
      <c r="AK33" s="9">
        <v>0</v>
      </c>
      <c r="AL33" s="9">
        <v>7.8862494588482308</v>
      </c>
      <c r="AM33" s="9">
        <v>0</v>
      </c>
      <c r="AN33" s="9">
        <v>7.534197357875084</v>
      </c>
      <c r="AO33" s="9">
        <v>0</v>
      </c>
      <c r="AP33" s="9">
        <v>7.0141458289207614</v>
      </c>
      <c r="AQ33" s="9">
        <v>0</v>
      </c>
      <c r="AR33" s="9">
        <v>3.977360683790117</v>
      </c>
      <c r="AS33" s="9">
        <v>0</v>
      </c>
      <c r="AT33" s="9">
        <v>3.5977570652340827</v>
      </c>
      <c r="AU33" s="9">
        <v>0</v>
      </c>
      <c r="AV33" s="9">
        <v>8.9807028563049851</v>
      </c>
      <c r="AW33" s="9">
        <v>0</v>
      </c>
      <c r="AX33" s="9">
        <v>9.9831941285555725</v>
      </c>
      <c r="AY33" s="9">
        <v>0</v>
      </c>
      <c r="AZ33" s="9">
        <v>3.7085002881304541</v>
      </c>
      <c r="BA33" s="9">
        <v>0</v>
      </c>
      <c r="BB33" s="9">
        <v>3.3407092202417381</v>
      </c>
      <c r="BC33" s="9">
        <v>0</v>
      </c>
      <c r="BD33" s="10"/>
      <c r="BE33" s="10"/>
      <c r="BF33" s="10"/>
      <c r="BG33" s="10"/>
      <c r="BH33" s="10"/>
    </row>
    <row r="34" spans="1:60" ht="15.75" customHeight="1" x14ac:dyDescent="0.3">
      <c r="A34" s="11" t="s">
        <v>492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2.4855525062867554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2.6733343103191061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11.598038403997263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7.3044391245027382</v>
      </c>
      <c r="BA34" s="9">
        <v>0</v>
      </c>
      <c r="BB34" s="9">
        <v>8.7439433071759094</v>
      </c>
      <c r="BC34" s="9">
        <v>0</v>
      </c>
      <c r="BD34" s="10"/>
      <c r="BE34" s="10"/>
      <c r="BF34" s="10"/>
      <c r="BG34" s="10"/>
      <c r="BH34" s="10"/>
    </row>
    <row r="35" spans="1:60" ht="15.75" customHeight="1" x14ac:dyDescent="0.3">
      <c r="A35" s="11" t="s">
        <v>491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1.6671367696228518</v>
      </c>
      <c r="T35" s="9">
        <v>0</v>
      </c>
      <c r="U35" s="9">
        <v>2.6414341334269937</v>
      </c>
      <c r="V35" s="9">
        <v>0</v>
      </c>
      <c r="W35" s="9">
        <v>2.5628190195169709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12.304585519363201</v>
      </c>
      <c r="AD35" s="9">
        <v>0</v>
      </c>
      <c r="AE35" s="9">
        <v>3.9731134113846687</v>
      </c>
      <c r="AF35" s="9">
        <v>0</v>
      </c>
      <c r="AG35" s="9">
        <v>3.7416339067697613</v>
      </c>
      <c r="AH35" s="9">
        <v>0</v>
      </c>
      <c r="AI35" s="9">
        <v>3.4851471206672113</v>
      </c>
      <c r="AJ35" s="9">
        <v>0</v>
      </c>
      <c r="AK35" s="9">
        <v>2.9760523889649106</v>
      </c>
      <c r="AL35" s="9">
        <v>0</v>
      </c>
      <c r="AM35" s="9">
        <v>2.8692944525975599</v>
      </c>
      <c r="AN35" s="9">
        <v>0</v>
      </c>
      <c r="AO35" s="9">
        <v>3.2823813730699647</v>
      </c>
      <c r="AP35" s="9">
        <v>0</v>
      </c>
      <c r="AQ35" s="9">
        <v>3.5317097107776294</v>
      </c>
      <c r="AR35" s="9">
        <v>0</v>
      </c>
      <c r="AS35" s="9">
        <v>3.7419756474556585</v>
      </c>
      <c r="AT35" s="9">
        <v>0</v>
      </c>
      <c r="AU35" s="9">
        <v>3.7219413653316962</v>
      </c>
      <c r="AV35" s="9">
        <v>0</v>
      </c>
      <c r="AW35" s="9">
        <v>3.1824485462522212</v>
      </c>
      <c r="AX35" s="9">
        <v>0</v>
      </c>
      <c r="AY35" s="9">
        <v>3.2262458537819807</v>
      </c>
      <c r="AZ35" s="9">
        <v>0</v>
      </c>
      <c r="BA35" s="9">
        <v>3.211417855234624</v>
      </c>
      <c r="BB35" s="9">
        <v>0</v>
      </c>
      <c r="BC35" s="9">
        <v>3.3923165188122533</v>
      </c>
      <c r="BD35" s="10"/>
      <c r="BE35" s="10"/>
      <c r="BF35" s="10"/>
      <c r="BG35" s="10"/>
      <c r="BH35" s="10"/>
    </row>
    <row r="36" spans="1:60" ht="15.75" customHeight="1" x14ac:dyDescent="0.3">
      <c r="A36" s="11" t="s">
        <v>489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18.712663446934531</v>
      </c>
      <c r="S36" s="9">
        <v>1.8079999177031614</v>
      </c>
      <c r="T36" s="9">
        <v>18.665016204368232</v>
      </c>
      <c r="U36" s="9">
        <v>1.7552501131315597</v>
      </c>
      <c r="V36" s="9">
        <v>17.431698164048047</v>
      </c>
      <c r="W36" s="9">
        <v>1.7501917800863269</v>
      </c>
      <c r="X36" s="9">
        <v>22.824684312184615</v>
      </c>
      <c r="Y36" s="9">
        <v>0</v>
      </c>
      <c r="Z36" s="9">
        <v>21.249495383204366</v>
      </c>
      <c r="AA36" s="9">
        <v>0</v>
      </c>
      <c r="AB36" s="9">
        <v>19.693601736991386</v>
      </c>
      <c r="AC36" s="9">
        <v>2.9731047122257723</v>
      </c>
      <c r="AD36" s="9">
        <v>19.672973120724542</v>
      </c>
      <c r="AE36" s="9">
        <v>3.2553391624784251</v>
      </c>
      <c r="AF36" s="9">
        <v>20.611302326580454</v>
      </c>
      <c r="AG36" s="9">
        <v>1.5673073941178446</v>
      </c>
      <c r="AH36" s="9">
        <v>19.627047271048969</v>
      </c>
      <c r="AI36" s="9">
        <v>1.9730741715314555</v>
      </c>
      <c r="AJ36" s="9">
        <v>22.84497421983562</v>
      </c>
      <c r="AK36" s="9">
        <v>1.6970105463258831</v>
      </c>
      <c r="AL36" s="9">
        <v>24.430654837716158</v>
      </c>
      <c r="AM36" s="9">
        <v>5.944959243329035</v>
      </c>
      <c r="AN36" s="9">
        <v>31.069091787750768</v>
      </c>
      <c r="AO36" s="9">
        <v>3.5660411645106174</v>
      </c>
      <c r="AP36" s="9">
        <v>30.154152724809943</v>
      </c>
      <c r="AQ36" s="9">
        <v>6.3315443848814619</v>
      </c>
      <c r="AR36" s="9">
        <v>122.84962979801141</v>
      </c>
      <c r="AS36" s="9">
        <v>14.644386582284818</v>
      </c>
      <c r="AT36" s="9">
        <v>18.735752018393576</v>
      </c>
      <c r="AU36" s="9">
        <v>4.2989449004895981</v>
      </c>
      <c r="AV36" s="9">
        <v>27.862341670521179</v>
      </c>
      <c r="AW36" s="9">
        <v>3.6902788936759663</v>
      </c>
      <c r="AX36" s="9">
        <v>28.161395980901005</v>
      </c>
      <c r="AY36" s="9">
        <v>3.0007867010506639</v>
      </c>
      <c r="AZ36" s="9">
        <v>128.53704854920946</v>
      </c>
      <c r="BA36" s="9">
        <v>13.168080783602774</v>
      </c>
      <c r="BB36" s="9">
        <v>130.82952433244611</v>
      </c>
      <c r="BC36" s="9">
        <v>12.629355064164775</v>
      </c>
    </row>
    <row r="37" spans="1:60" ht="15.75" customHeight="1" x14ac:dyDescent="0.3">
      <c r="A37" s="11" t="s">
        <v>490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3.3235105374788412</v>
      </c>
      <c r="U37" s="9">
        <v>0</v>
      </c>
      <c r="V37" s="9">
        <v>0</v>
      </c>
      <c r="W37" s="9">
        <v>0</v>
      </c>
      <c r="X37" s="9">
        <v>2.6472807573871431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2.4639071222092124</v>
      </c>
      <c r="AE37" s="9">
        <v>0</v>
      </c>
      <c r="AF37" s="9">
        <v>0</v>
      </c>
      <c r="AG37" s="9">
        <v>0</v>
      </c>
      <c r="AH37" s="9">
        <v>3.1576218892477974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4.2331346322788947</v>
      </c>
      <c r="AS37" s="9">
        <v>0</v>
      </c>
      <c r="AT37" s="9">
        <v>3.2093176535287853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3.9232441776064602</v>
      </c>
      <c r="BA37" s="9">
        <v>0</v>
      </c>
      <c r="BB37" s="9">
        <v>3.5905201294983882</v>
      </c>
      <c r="BC37" s="9">
        <v>0</v>
      </c>
    </row>
    <row r="38" spans="1:60" ht="15.75" customHeight="1" x14ac:dyDescent="0.3">
      <c r="A38" s="11" t="s">
        <v>465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556.8680664262647</v>
      </c>
      <c r="S38" s="9">
        <v>161.7473381198225</v>
      </c>
      <c r="T38" s="9">
        <v>558.37544328194474</v>
      </c>
      <c r="U38" s="9">
        <v>164.10935880567263</v>
      </c>
      <c r="V38" s="9">
        <v>470.37356613298817</v>
      </c>
      <c r="W38" s="9">
        <v>196.08086591609518</v>
      </c>
      <c r="X38" s="9">
        <v>555.91557479445294</v>
      </c>
      <c r="Y38" s="9">
        <v>161.18564172666134</v>
      </c>
      <c r="Z38" s="9">
        <v>417.69230883073163</v>
      </c>
      <c r="AA38" s="9">
        <v>118.84452684620572</v>
      </c>
      <c r="AB38" s="9">
        <v>389.24940080448602</v>
      </c>
      <c r="AC38" s="9">
        <v>264.73447098218622</v>
      </c>
      <c r="AD38" s="9">
        <v>468.18508448226652</v>
      </c>
      <c r="AE38" s="9">
        <v>290.15447776072102</v>
      </c>
      <c r="AF38" s="9">
        <v>494.86224172959709</v>
      </c>
      <c r="AG38" s="9">
        <v>241.2707060481541</v>
      </c>
      <c r="AH38" s="9">
        <v>560.04030264260416</v>
      </c>
      <c r="AI38" s="9">
        <v>241.76818185236493</v>
      </c>
      <c r="AJ38" s="9">
        <v>389.8391540189225</v>
      </c>
      <c r="AK38" s="9">
        <v>188.62293809030564</v>
      </c>
      <c r="AL38" s="9">
        <v>527.91309578117819</v>
      </c>
      <c r="AM38" s="9">
        <v>335.53358925314024</v>
      </c>
      <c r="AN38" s="9">
        <v>485.01450189076485</v>
      </c>
      <c r="AO38" s="9">
        <v>137.77160956416913</v>
      </c>
      <c r="AP38" s="9">
        <v>432.8538352445359</v>
      </c>
      <c r="AQ38" s="9">
        <v>262.77712830725176</v>
      </c>
      <c r="AR38" s="9">
        <v>571.64681350337389</v>
      </c>
      <c r="AS38" s="9">
        <v>177.92702082017493</v>
      </c>
      <c r="AT38" s="9">
        <v>809.1610877670546</v>
      </c>
      <c r="AU38" s="9">
        <v>297.45328415923217</v>
      </c>
      <c r="AV38" s="9">
        <v>481.94519799180216</v>
      </c>
      <c r="AW38" s="9">
        <v>226.96244887656562</v>
      </c>
      <c r="AX38" s="9">
        <v>493.00993386318606</v>
      </c>
      <c r="AY38" s="9">
        <v>200.67377304123048</v>
      </c>
      <c r="AZ38" s="9">
        <v>645.72533764821867</v>
      </c>
      <c r="BA38" s="9">
        <v>165.11399131751236</v>
      </c>
      <c r="BB38" s="9">
        <v>602.18333471708218</v>
      </c>
      <c r="BC38" s="9">
        <v>168.73460376603728</v>
      </c>
    </row>
    <row r="39" spans="1:60" ht="15.75" customHeight="1" x14ac:dyDescent="0.3">
      <c r="A39" s="11" t="s">
        <v>496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3.792802072901384</v>
      </c>
    </row>
    <row r="40" spans="1:60" ht="15.75" customHeight="1" x14ac:dyDescent="0.3">
      <c r="A40" s="11" t="s">
        <v>485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10.006241787122745</v>
      </c>
      <c r="S40" s="9">
        <v>0.92433996982050248</v>
      </c>
      <c r="T40" s="9">
        <v>12.438408014619966</v>
      </c>
      <c r="U40" s="9">
        <v>1.0268234265086487</v>
      </c>
      <c r="V40" s="9">
        <v>11.32747395490952</v>
      </c>
      <c r="W40" s="9">
        <v>1.597295042086591</v>
      </c>
      <c r="X40" s="9">
        <v>16.259266787850738</v>
      </c>
      <c r="Y40" s="9">
        <v>0</v>
      </c>
      <c r="Z40" s="9">
        <v>13.284425973915281</v>
      </c>
      <c r="AA40" s="9">
        <v>0</v>
      </c>
      <c r="AB40" s="9">
        <v>2.5247239107406121</v>
      </c>
      <c r="AC40" s="9">
        <v>0</v>
      </c>
      <c r="AD40" s="9">
        <v>8.508783878649945</v>
      </c>
      <c r="AE40" s="9">
        <v>1.5956744522101161</v>
      </c>
      <c r="AF40" s="9">
        <v>11.902287550436563</v>
      </c>
      <c r="AG40" s="9">
        <v>0</v>
      </c>
      <c r="AH40" s="9">
        <v>15.481569375625098</v>
      </c>
      <c r="AI40" s="9">
        <v>1.1651185158094592</v>
      </c>
      <c r="AJ40" s="9">
        <v>8.9743471313643521</v>
      </c>
      <c r="AK40" s="9">
        <v>0</v>
      </c>
      <c r="AL40" s="9">
        <v>10.77032771362631</v>
      </c>
      <c r="AM40" s="9">
        <v>1.9896631881619162</v>
      </c>
      <c r="AN40" s="9">
        <v>13.047974442024943</v>
      </c>
      <c r="AO40" s="9">
        <v>1.7454561353653053</v>
      </c>
      <c r="AP40" s="9">
        <v>8.3661638146888606</v>
      </c>
      <c r="AQ40" s="9">
        <v>1.986220956161816</v>
      </c>
      <c r="AR40" s="9">
        <v>33.139333080096499</v>
      </c>
      <c r="AS40" s="9">
        <v>3.7327612296394062</v>
      </c>
      <c r="AT40" s="9">
        <v>12.195512101251104</v>
      </c>
      <c r="AU40" s="9">
        <v>1.9643940967566593</v>
      </c>
      <c r="AV40" s="9">
        <v>10.642420025619048</v>
      </c>
      <c r="AW40" s="9">
        <v>0</v>
      </c>
      <c r="AX40" s="9">
        <v>11.480024885792604</v>
      </c>
      <c r="AY40" s="9">
        <v>0</v>
      </c>
      <c r="AZ40" s="9">
        <v>26.593001763548461</v>
      </c>
      <c r="BA40" s="9">
        <v>3.3368920009313707</v>
      </c>
      <c r="BB40" s="9">
        <v>31.18684934372644</v>
      </c>
      <c r="BC40" s="9">
        <v>3.2389366150363856</v>
      </c>
    </row>
    <row r="41" spans="1:60" ht="15.75" customHeight="1" x14ac:dyDescent="0.3">
      <c r="A41" s="11" t="s">
        <v>466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53.4340951412347</v>
      </c>
      <c r="S41" s="9">
        <v>16.657822309712426</v>
      </c>
      <c r="T41" s="9">
        <v>53.597520578555191</v>
      </c>
      <c r="U41" s="9">
        <v>15.855782697314529</v>
      </c>
      <c r="V41" s="9">
        <v>38.716649198501997</v>
      </c>
      <c r="W41" s="9">
        <v>15.788989614202256</v>
      </c>
      <c r="X41" s="9">
        <v>57.073615670958979</v>
      </c>
      <c r="Y41" s="9">
        <v>29.627704662948414</v>
      </c>
      <c r="Z41" s="9">
        <v>39.707265379855208</v>
      </c>
      <c r="AA41" s="9">
        <v>16.664025444277133</v>
      </c>
      <c r="AB41" s="9">
        <v>25.778157085103839</v>
      </c>
      <c r="AC41" s="9">
        <v>38.85377332142307</v>
      </c>
      <c r="AD41" s="9">
        <v>31.552697677286432</v>
      </c>
      <c r="AE41" s="9">
        <v>37.283595718724357</v>
      </c>
      <c r="AF41" s="9">
        <v>43.803726074883798</v>
      </c>
      <c r="AG41" s="9">
        <v>19.929991778530326</v>
      </c>
      <c r="AH41" s="9">
        <v>48.008589044744689</v>
      </c>
      <c r="AI41" s="9">
        <v>19.984729854614532</v>
      </c>
      <c r="AJ41" s="9">
        <v>36.450186288401717</v>
      </c>
      <c r="AK41" s="9">
        <v>19.696972781639719</v>
      </c>
      <c r="AL41" s="9">
        <v>47.278590682887589</v>
      </c>
      <c r="AM41" s="9">
        <v>23.16333975014004</v>
      </c>
      <c r="AN41" s="9">
        <v>51.6371152501927</v>
      </c>
      <c r="AO41" s="9">
        <v>21.121515911693866</v>
      </c>
      <c r="AP41" s="9">
        <v>36.623382813184456</v>
      </c>
      <c r="AQ41" s="9">
        <v>35.303637270997179</v>
      </c>
      <c r="AR41" s="9">
        <v>88.929297847756672</v>
      </c>
      <c r="AS41" s="9">
        <v>35.564040019850509</v>
      </c>
      <c r="AT41" s="9">
        <v>60.666286850675114</v>
      </c>
      <c r="AU41" s="9">
        <v>27.43371458234293</v>
      </c>
      <c r="AV41" s="9">
        <v>37.224983362886803</v>
      </c>
      <c r="AW41" s="9">
        <v>28.127022081770434</v>
      </c>
      <c r="AX41" s="9">
        <v>38.194461510067107</v>
      </c>
      <c r="AY41" s="9">
        <v>26.659050008870292</v>
      </c>
      <c r="AZ41" s="9">
        <v>107.73501408787666</v>
      </c>
      <c r="BA41" s="9">
        <v>38.988266765029557</v>
      </c>
      <c r="BB41" s="9">
        <v>101.86464143496137</v>
      </c>
      <c r="BC41" s="9">
        <v>35.00822792892297</v>
      </c>
    </row>
    <row r="42" spans="1:60" ht="15.75" customHeight="1" x14ac:dyDescent="0.3">
      <c r="A42" s="11" t="s">
        <v>486</v>
      </c>
      <c r="B42" s="9">
        <v>1.5797515650804472</v>
      </c>
      <c r="C42" s="9">
        <v>1.9869457122085399</v>
      </c>
      <c r="D42" s="9">
        <v>1.4699248307697144</v>
      </c>
      <c r="E42" s="9">
        <v>1.4</v>
      </c>
      <c r="F42" s="9">
        <v>1.2925254931669714</v>
      </c>
      <c r="G42" s="9">
        <v>1.5586883233477489</v>
      </c>
      <c r="H42" s="9">
        <v>0.77004008657525558</v>
      </c>
      <c r="I42" s="9">
        <v>1.5222459106519006</v>
      </c>
      <c r="J42" s="9">
        <v>1.037762170330311</v>
      </c>
      <c r="K42" s="9">
        <v>0</v>
      </c>
      <c r="L42" s="9">
        <v>0</v>
      </c>
      <c r="M42" s="9">
        <v>0</v>
      </c>
      <c r="N42" s="9">
        <v>0.80706706912027815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</row>
    <row r="43" spans="1:60" ht="15.75" customHeight="1" x14ac:dyDescent="0.3">
      <c r="A43" s="11" t="s">
        <v>488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4.4596916367138837</v>
      </c>
      <c r="S43" s="9">
        <v>0</v>
      </c>
      <c r="T43" s="9">
        <v>5.8235825616907677</v>
      </c>
      <c r="U43" s="9">
        <v>0</v>
      </c>
      <c r="V43" s="9">
        <v>5.0722813714347907</v>
      </c>
      <c r="W43" s="9">
        <v>0</v>
      </c>
      <c r="X43" s="9">
        <v>5.1020970420979257</v>
      </c>
      <c r="Y43" s="9">
        <v>0</v>
      </c>
      <c r="Z43" s="9">
        <v>1.736997464948508</v>
      </c>
      <c r="AA43" s="9">
        <v>0</v>
      </c>
      <c r="AB43" s="9">
        <v>2.6994697404327357</v>
      </c>
      <c r="AC43" s="9">
        <v>0</v>
      </c>
      <c r="AD43" s="9">
        <v>4.0349778138563863</v>
      </c>
      <c r="AE43" s="9">
        <v>0</v>
      </c>
      <c r="AF43" s="9">
        <v>2.1871165230877696</v>
      </c>
      <c r="AG43" s="9">
        <v>0</v>
      </c>
      <c r="AH43" s="9">
        <v>6.538907843809568</v>
      </c>
      <c r="AI43" s="9">
        <v>0</v>
      </c>
      <c r="AJ43" s="9">
        <v>3.4473725057808355</v>
      </c>
      <c r="AK43" s="9">
        <v>0</v>
      </c>
      <c r="AL43" s="9">
        <v>5.6214209970244724</v>
      </c>
      <c r="AM43" s="9">
        <v>0</v>
      </c>
      <c r="AN43" s="9">
        <v>1.1911886812566188</v>
      </c>
      <c r="AO43" s="9">
        <v>0</v>
      </c>
      <c r="AP43" s="9">
        <v>1.7050548445871285</v>
      </c>
      <c r="AQ43" s="9">
        <v>0</v>
      </c>
      <c r="AR43" s="9">
        <v>0</v>
      </c>
      <c r="AS43" s="9">
        <v>0</v>
      </c>
      <c r="AT43" s="9">
        <v>5.5496435937236637</v>
      </c>
      <c r="AU43" s="9">
        <v>0</v>
      </c>
      <c r="AV43" s="9">
        <v>3.151820203797834</v>
      </c>
      <c r="AW43" s="9">
        <v>0</v>
      </c>
      <c r="AX43" s="9">
        <v>3.9928518084287297</v>
      </c>
      <c r="AY43" s="9">
        <v>0</v>
      </c>
      <c r="AZ43" s="9">
        <v>7.2974553033496248</v>
      </c>
      <c r="BA43" s="9">
        <v>0</v>
      </c>
      <c r="BB43" s="9">
        <v>6.6947418183445988</v>
      </c>
      <c r="BC43" s="9">
        <v>0</v>
      </c>
    </row>
    <row r="44" spans="1:60" ht="15.75" customHeight="1" x14ac:dyDescent="0.3">
      <c r="A44" s="11" t="s">
        <v>487</v>
      </c>
      <c r="B44" s="9">
        <v>171.14132254877282</v>
      </c>
      <c r="C44" s="9">
        <v>158.97105469624009</v>
      </c>
      <c r="D44" s="9">
        <v>141.47045914047746</v>
      </c>
      <c r="E44" s="9">
        <v>121.47277153764901</v>
      </c>
      <c r="F44" s="9">
        <v>120.1722374959145</v>
      </c>
      <c r="G44" s="9">
        <v>128.17600134234607</v>
      </c>
      <c r="H44" s="9">
        <v>133.19999999999999</v>
      </c>
      <c r="I44" s="9">
        <v>158.13587791042428</v>
      </c>
      <c r="J44" s="9">
        <v>123.84978838285519</v>
      </c>
      <c r="K44" s="9">
        <v>122.2</v>
      </c>
      <c r="L44" s="9">
        <v>123.1547248893487</v>
      </c>
      <c r="M44" s="9">
        <v>123.8268359144755</v>
      </c>
      <c r="N44" s="9">
        <v>136.02716742124397</v>
      </c>
      <c r="O44" s="9">
        <v>152.37861064052606</v>
      </c>
      <c r="P44" s="9">
        <v>70.36666666666666</v>
      </c>
      <c r="Q44" s="9">
        <v>68.733333333333334</v>
      </c>
      <c r="R44" s="9">
        <v>7.656136098850582</v>
      </c>
      <c r="S44" s="9">
        <v>5.1794063003276518</v>
      </c>
      <c r="T44" s="9">
        <v>8.2025009180234587</v>
      </c>
      <c r="U44" s="9">
        <v>5.1043759281737593</v>
      </c>
      <c r="V44" s="9">
        <v>6.1694085880275109</v>
      </c>
      <c r="W44" s="9">
        <v>5.4422014438952813</v>
      </c>
      <c r="X44" s="9">
        <v>6.0882305367477736</v>
      </c>
      <c r="Y44" s="9">
        <v>5.462398646335207</v>
      </c>
      <c r="Z44" s="9">
        <v>3.6822560292399769</v>
      </c>
      <c r="AA44" s="9">
        <v>3.7845891069060009</v>
      </c>
      <c r="AB44" s="9">
        <v>3.5953867611925716</v>
      </c>
      <c r="AC44" s="9">
        <v>6.3900044535036935</v>
      </c>
      <c r="AD44" s="9">
        <v>4.5089645420204318</v>
      </c>
      <c r="AE44" s="9">
        <v>7.2575489535168449</v>
      </c>
      <c r="AF44" s="9">
        <v>5.5923236954421567</v>
      </c>
      <c r="AG44" s="9">
        <v>7.2062037544139237</v>
      </c>
      <c r="AH44" s="9">
        <v>6.8536789027518514</v>
      </c>
      <c r="AI44" s="9">
        <v>7.0122595219701296</v>
      </c>
      <c r="AJ44" s="9">
        <v>4.1857338315337991</v>
      </c>
      <c r="AK44" s="9">
        <v>5.5878278388521947</v>
      </c>
      <c r="AL44" s="9">
        <v>9.9019148796277552</v>
      </c>
      <c r="AM44" s="9">
        <v>10.698348352728926</v>
      </c>
      <c r="AN44" s="9">
        <v>5.2581857659454982</v>
      </c>
      <c r="AO44" s="9">
        <v>5.3069426516364748</v>
      </c>
      <c r="AP44" s="9">
        <v>3.9781249078180552</v>
      </c>
      <c r="AQ44" s="9">
        <v>5.7340533977966848</v>
      </c>
      <c r="AR44" s="9">
        <v>3.310825166645087</v>
      </c>
      <c r="AS44" s="9">
        <v>2.994757878717115</v>
      </c>
      <c r="AT44" s="9">
        <v>7.9406789589303823</v>
      </c>
      <c r="AU44" s="9">
        <v>6.3892368269494968</v>
      </c>
      <c r="AV44" s="9">
        <v>5.2335222591414432</v>
      </c>
      <c r="AW44" s="9">
        <v>7.2222310384602197</v>
      </c>
      <c r="AX44" s="9">
        <v>5.7905134605340329</v>
      </c>
      <c r="AY44" s="9">
        <v>6.9404666591577078</v>
      </c>
      <c r="AZ44" s="9">
        <v>4.9216264499678601</v>
      </c>
      <c r="BA44" s="9">
        <v>3.3569694080814281</v>
      </c>
      <c r="BB44" s="9">
        <v>4.8085843599241622</v>
      </c>
      <c r="BC44" s="9">
        <v>3.2509924533692427</v>
      </c>
    </row>
    <row r="45" spans="1:60" ht="15.75" customHeight="1" x14ac:dyDescent="0.3">
      <c r="A45" s="11" t="s">
        <v>502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9">
        <v>0</v>
      </c>
      <c r="S45" s="9">
        <v>2.1487699009325123</v>
      </c>
      <c r="T45" s="9">
        <v>0</v>
      </c>
      <c r="U45" s="9">
        <v>2.0201674214331589</v>
      </c>
      <c r="V45" s="9">
        <v>0</v>
      </c>
      <c r="W45" s="9">
        <v>1.6147666921058506</v>
      </c>
      <c r="X45" s="9">
        <v>0</v>
      </c>
      <c r="Y45" s="9">
        <v>6.9767680556641878</v>
      </c>
      <c r="Z45" s="9">
        <v>0</v>
      </c>
      <c r="AA45" s="9">
        <v>3.6561930547992838</v>
      </c>
      <c r="AB45" s="9">
        <v>0</v>
      </c>
      <c r="AC45" s="9">
        <v>2.6076113398413128</v>
      </c>
      <c r="AD45" s="9">
        <v>0</v>
      </c>
      <c r="AE45" s="9">
        <v>3.6862647456751607</v>
      </c>
      <c r="AF45" s="9">
        <v>0</v>
      </c>
      <c r="AG45" s="9">
        <v>6.2548300693106702</v>
      </c>
      <c r="AH45" s="9">
        <v>0</v>
      </c>
      <c r="AI45" s="9">
        <v>4.2626267364056192</v>
      </c>
      <c r="AJ45" s="9">
        <v>0</v>
      </c>
      <c r="AK45" s="9">
        <v>2.6682695497030795</v>
      </c>
      <c r="AL45" s="9">
        <v>0</v>
      </c>
      <c r="AM45" s="9">
        <v>1.0125254165790492</v>
      </c>
      <c r="AN45" s="9">
        <v>0</v>
      </c>
      <c r="AO45" s="9">
        <v>3.7552849997808906</v>
      </c>
      <c r="AP45" s="9">
        <v>0</v>
      </c>
      <c r="AQ45" s="9">
        <v>2.6813191369607274</v>
      </c>
      <c r="AR45" s="9">
        <v>0</v>
      </c>
      <c r="AS45" s="9">
        <v>4.3566151402354683</v>
      </c>
      <c r="AT45" s="9">
        <v>0</v>
      </c>
      <c r="AU45" s="9">
        <v>4.4116403205692913</v>
      </c>
      <c r="AV45" s="9">
        <v>0</v>
      </c>
      <c r="AW45" s="9">
        <v>2.5042756088681895</v>
      </c>
      <c r="AX45" s="9">
        <v>0</v>
      </c>
      <c r="AY45" s="9">
        <v>3.8180042354779817</v>
      </c>
      <c r="AZ45" s="9">
        <v>0</v>
      </c>
      <c r="BA45" s="9">
        <v>4.7957894754800598</v>
      </c>
      <c r="BB45" s="9">
        <v>0</v>
      </c>
      <c r="BC45" s="9">
        <v>3.7945936802177003</v>
      </c>
    </row>
    <row r="46" spans="1:60" ht="15.75" customHeight="1" x14ac:dyDescent="0.3">
      <c r="A46" s="11" t="s">
        <v>468</v>
      </c>
      <c r="B46" s="9">
        <v>23.68282062186384</v>
      </c>
      <c r="C46" s="9">
        <v>22.811262191693846</v>
      </c>
      <c r="D46" s="9">
        <v>21.1</v>
      </c>
      <c r="E46" s="9">
        <v>22.966318683445035</v>
      </c>
      <c r="F46" s="9">
        <v>21.57486994658122</v>
      </c>
      <c r="G46" s="9">
        <v>24.144207449095358</v>
      </c>
      <c r="H46" s="9">
        <v>25.283537439615461</v>
      </c>
      <c r="I46" s="9">
        <v>19.624211373777154</v>
      </c>
      <c r="J46" s="9">
        <v>13.842270045190363</v>
      </c>
      <c r="K46" s="9">
        <v>7.2</v>
      </c>
      <c r="L46" s="9">
        <v>9.2831060197782502</v>
      </c>
      <c r="M46" s="9">
        <v>8.8000000000000007</v>
      </c>
      <c r="N46" s="9">
        <v>7.8651486776715869</v>
      </c>
      <c r="O46" s="9">
        <v>0</v>
      </c>
      <c r="P46" s="9">
        <v>0</v>
      </c>
      <c r="Q46" s="9">
        <v>0</v>
      </c>
      <c r="R46" s="9">
        <v>3527.2468051396859</v>
      </c>
      <c r="S46" s="9">
        <v>338.48656981318101</v>
      </c>
      <c r="T46" s="9">
        <v>4107.0120001471769</v>
      </c>
      <c r="U46" s="9">
        <v>353.08975664704514</v>
      </c>
      <c r="V46" s="9">
        <v>4432.8845219055956</v>
      </c>
      <c r="W46" s="9">
        <v>440.02543333522209</v>
      </c>
      <c r="X46" s="9">
        <v>4860.1572586456141</v>
      </c>
      <c r="Y46" s="9">
        <v>321.06682554864068</v>
      </c>
      <c r="Z46" s="9">
        <v>3489.5732439017015</v>
      </c>
      <c r="AA46" s="9">
        <v>245.75856046736354</v>
      </c>
      <c r="AB46" s="9">
        <v>4841.4059724948575</v>
      </c>
      <c r="AC46" s="9">
        <v>596.82222823405834</v>
      </c>
      <c r="AD46" s="9">
        <v>5451.013213768776</v>
      </c>
      <c r="AE46" s="9">
        <v>622.75631311602922</v>
      </c>
      <c r="AF46" s="9">
        <v>4217.5764058417426</v>
      </c>
      <c r="AG46" s="9">
        <v>464.40339364279561</v>
      </c>
      <c r="AH46" s="9">
        <v>4685.9304990286719</v>
      </c>
      <c r="AI46" s="9">
        <v>491.93287031297081</v>
      </c>
      <c r="AJ46" s="9">
        <v>4025.2466910012868</v>
      </c>
      <c r="AK46" s="9">
        <v>406.91640096392013</v>
      </c>
      <c r="AL46" s="9">
        <v>3841.4383249240163</v>
      </c>
      <c r="AM46" s="9">
        <v>750.09217311685541</v>
      </c>
      <c r="AN46" s="9">
        <v>3899.8582245668636</v>
      </c>
      <c r="AO46" s="9">
        <v>417.88972570894492</v>
      </c>
      <c r="AP46" s="9">
        <v>4015.4658946267623</v>
      </c>
      <c r="AQ46" s="9">
        <v>566.82920296671466</v>
      </c>
      <c r="AR46" s="9">
        <v>3728.91259394692</v>
      </c>
      <c r="AS46" s="9">
        <v>335.878470847953</v>
      </c>
      <c r="AT46" s="9">
        <v>3790.3633507016748</v>
      </c>
      <c r="AU46" s="9">
        <v>546.93226314284868</v>
      </c>
      <c r="AV46" s="9">
        <v>4383.3034027434414</v>
      </c>
      <c r="AW46" s="9">
        <v>504.17041015915203</v>
      </c>
      <c r="AX46" s="9">
        <v>4420.4010611254353</v>
      </c>
      <c r="AY46" s="9">
        <v>433.6952577569611</v>
      </c>
      <c r="AZ46" s="9">
        <v>3693.5714884725762</v>
      </c>
      <c r="BA46" s="9">
        <v>307.65293159084058</v>
      </c>
      <c r="BB46" s="9">
        <v>3783.2512230938751</v>
      </c>
      <c r="BC46" s="9">
        <v>310.99735796938404</v>
      </c>
    </row>
    <row r="47" spans="1:60" ht="15.75" customHeight="1" x14ac:dyDescent="0.3">
      <c r="A47" s="11" t="s">
        <v>501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9">
        <v>97.763091128629767</v>
      </c>
      <c r="S47" s="9">
        <v>6.1945023629311633</v>
      </c>
      <c r="T47" s="9">
        <v>25.126939419002365</v>
      </c>
      <c r="U47" s="9">
        <v>6.4571899925659144</v>
      </c>
      <c r="V47" s="9">
        <v>125.38043131081425</v>
      </c>
      <c r="W47" s="9">
        <v>7.4834377176277158</v>
      </c>
      <c r="X47" s="9">
        <v>24.589037106818434</v>
      </c>
      <c r="Y47" s="9">
        <v>6.0721155876894208</v>
      </c>
      <c r="Z47" s="9">
        <v>96.129058577439039</v>
      </c>
      <c r="AA47" s="9">
        <v>4.2958941743283967</v>
      </c>
      <c r="AB47" s="9">
        <v>148.67748062984316</v>
      </c>
      <c r="AC47" s="9">
        <v>10.6702816645835</v>
      </c>
      <c r="AD47" s="9">
        <v>24.654032032961094</v>
      </c>
      <c r="AE47" s="9">
        <v>8.6266577319071143</v>
      </c>
      <c r="AF47" s="9">
        <v>109.60731105134295</v>
      </c>
      <c r="AG47" s="9">
        <v>8.7376995760842124</v>
      </c>
      <c r="AH47" s="9">
        <v>23.255255196832021</v>
      </c>
      <c r="AI47" s="9">
        <v>9.0700848203759676</v>
      </c>
      <c r="AJ47" s="9">
        <v>115.83626856852776</v>
      </c>
      <c r="AK47" s="9">
        <v>7.2586006204439935</v>
      </c>
      <c r="AL47" s="9">
        <v>111.46075685555131</v>
      </c>
      <c r="AM47" s="9">
        <v>14.060574375081567</v>
      </c>
      <c r="AN47" s="9">
        <v>94.010934905370434</v>
      </c>
      <c r="AO47" s="9">
        <v>7.5583149733586863</v>
      </c>
      <c r="AP47" s="9">
        <v>104.79059101885876</v>
      </c>
      <c r="AQ47" s="9">
        <v>9.5036075610713624</v>
      </c>
      <c r="AR47" s="9">
        <v>25.900261842019471</v>
      </c>
      <c r="AS47" s="9">
        <v>5.8958409208303593</v>
      </c>
      <c r="AT47" s="9">
        <v>28.541774158404337</v>
      </c>
      <c r="AU47" s="9">
        <v>9.3552100673810568</v>
      </c>
      <c r="AV47" s="9">
        <v>124.2736578676916</v>
      </c>
      <c r="AW47" s="9">
        <v>9.2755753880028475</v>
      </c>
      <c r="AX47" s="9">
        <v>128.41492565438705</v>
      </c>
      <c r="AY47" s="9">
        <v>7.446933060094195</v>
      </c>
      <c r="AZ47" s="9">
        <v>25.271173909412123</v>
      </c>
      <c r="BA47" s="9">
        <v>5.7001138224720025</v>
      </c>
      <c r="BB47" s="9">
        <v>19.496966268746789</v>
      </c>
      <c r="BC47" s="9">
        <v>5.7339561610181304</v>
      </c>
    </row>
    <row r="48" spans="1:60" ht="15.75" customHeight="1" x14ac:dyDescent="0.3">
      <c r="A48" s="11" t="s">
        <v>497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5.0907713885561305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6.208337032991543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5.2770473380315082</v>
      </c>
      <c r="BB48" s="9">
        <v>0</v>
      </c>
      <c r="BC48" s="9">
        <v>4.1129528658956547</v>
      </c>
    </row>
    <row r="49" spans="1:55" ht="15.75" customHeight="1" x14ac:dyDescent="0.3">
      <c r="A49" s="11" t="s">
        <v>495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6.4693841947007558</v>
      </c>
      <c r="T49" s="9">
        <v>0</v>
      </c>
      <c r="U49" s="9">
        <v>5.7674565025610498</v>
      </c>
      <c r="V49" s="9">
        <v>0</v>
      </c>
      <c r="W49" s="9">
        <v>4.8954977723888371</v>
      </c>
      <c r="X49" s="9">
        <v>0</v>
      </c>
      <c r="Y49" s="9">
        <v>8.4192205769279553</v>
      </c>
      <c r="Z49" s="9">
        <v>0</v>
      </c>
      <c r="AA49" s="9">
        <v>6.0143898553556783</v>
      </c>
      <c r="AB49" s="9">
        <v>0</v>
      </c>
      <c r="AC49" s="9">
        <v>9.6589045247819421</v>
      </c>
      <c r="AD49" s="9">
        <v>0</v>
      </c>
      <c r="AE49" s="9">
        <v>7.378662716641597</v>
      </c>
      <c r="AF49" s="9">
        <v>0</v>
      </c>
      <c r="AG49" s="9">
        <v>7.5730262707940392</v>
      </c>
      <c r="AH49" s="9">
        <v>0</v>
      </c>
      <c r="AI49" s="9">
        <v>7.0925973000952149</v>
      </c>
      <c r="AJ49" s="9">
        <v>0</v>
      </c>
      <c r="AK49" s="9">
        <v>7.433840120493433</v>
      </c>
      <c r="AL49" s="9">
        <v>0</v>
      </c>
      <c r="AM49" s="9">
        <v>5.0474632382974436</v>
      </c>
      <c r="AN49" s="9">
        <v>0</v>
      </c>
      <c r="AO49" s="9">
        <v>8.5459831140601761</v>
      </c>
      <c r="AP49" s="9">
        <v>0</v>
      </c>
      <c r="AQ49" s="9">
        <v>7.1762949832538183</v>
      </c>
      <c r="AR49" s="9">
        <v>0</v>
      </c>
      <c r="AS49" s="9">
        <v>13.528404132435336</v>
      </c>
      <c r="AT49" s="9">
        <v>0</v>
      </c>
      <c r="AU49" s="9">
        <v>6.8910229583056859</v>
      </c>
      <c r="AV49" s="9">
        <v>0</v>
      </c>
      <c r="AW49" s="9">
        <v>6.2226424688772584</v>
      </c>
      <c r="AX49" s="9">
        <v>0</v>
      </c>
      <c r="AY49" s="9">
        <v>6.2236634463717353</v>
      </c>
      <c r="AZ49" s="9">
        <v>0</v>
      </c>
      <c r="BA49" s="9">
        <v>14.927750429640696</v>
      </c>
      <c r="BB49" s="9">
        <v>0</v>
      </c>
      <c r="BC49" s="9">
        <v>12.802130003929861</v>
      </c>
    </row>
    <row r="50" spans="1:55" ht="15.75" customHeight="1" x14ac:dyDescent="0.3">
      <c r="A50" s="11" t="s">
        <v>469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363.1579200064196</v>
      </c>
      <c r="S50" s="9">
        <v>46.609990725682586</v>
      </c>
      <c r="T50" s="9">
        <v>407.81067810845826</v>
      </c>
      <c r="U50" s="9">
        <v>46.398087713120127</v>
      </c>
      <c r="V50" s="9">
        <v>379.00725407375808</v>
      </c>
      <c r="W50" s="9">
        <v>47.596067589818141</v>
      </c>
      <c r="X50" s="9">
        <v>558.05276039132764</v>
      </c>
      <c r="Y50" s="9">
        <v>51.230755855421954</v>
      </c>
      <c r="Z50" s="9">
        <v>371.47470740764066</v>
      </c>
      <c r="AA50" s="9">
        <v>36.576187741387088</v>
      </c>
      <c r="AB50" s="9">
        <v>355.67982116273259</v>
      </c>
      <c r="AC50" s="9">
        <v>54.112886387741582</v>
      </c>
      <c r="AD50" s="9">
        <v>424.93069782692629</v>
      </c>
      <c r="AE50" s="9">
        <v>65.666589659052704</v>
      </c>
      <c r="AF50" s="9">
        <v>415.50270644945823</v>
      </c>
      <c r="AG50" s="9">
        <v>53.777541863739998</v>
      </c>
      <c r="AH50" s="9">
        <v>425.85725072551924</v>
      </c>
      <c r="AI50" s="9">
        <v>54.992576702146522</v>
      </c>
      <c r="AJ50" s="9">
        <v>431.15440692893225</v>
      </c>
      <c r="AK50" s="9">
        <v>57.05989746823402</v>
      </c>
      <c r="AL50" s="9">
        <v>364.98701718960837</v>
      </c>
      <c r="AM50" s="9">
        <v>71.163582143381589</v>
      </c>
      <c r="AN50" s="9">
        <v>453.44300759912375</v>
      </c>
      <c r="AO50" s="9">
        <v>59.902071285951479</v>
      </c>
      <c r="AP50" s="9">
        <v>400.62702489289057</v>
      </c>
      <c r="AQ50" s="9">
        <v>69.674944553052782</v>
      </c>
      <c r="AR50" s="9">
        <v>864.55576849543775</v>
      </c>
      <c r="AS50" s="9">
        <v>89.308299909305916</v>
      </c>
      <c r="AT50" s="9">
        <v>288.55939659599852</v>
      </c>
      <c r="AU50" s="9">
        <v>64.719810165362532</v>
      </c>
      <c r="AV50" s="9">
        <v>391.56389181085893</v>
      </c>
      <c r="AW50" s="9">
        <v>54.557338559763387</v>
      </c>
      <c r="AX50" s="9">
        <v>395.24904326416521</v>
      </c>
      <c r="AY50" s="9">
        <v>48.564915398766182</v>
      </c>
      <c r="AZ50" s="9">
        <v>826.46257930571358</v>
      </c>
      <c r="BA50" s="9">
        <v>96.071654906491929</v>
      </c>
      <c r="BB50" s="9">
        <v>882.44199341197964</v>
      </c>
      <c r="BC50" s="9">
        <v>90.18367699960389</v>
      </c>
    </row>
    <row r="51" spans="1:55" ht="15.75" customHeight="1" x14ac:dyDescent="0.3">
      <c r="A51" s="11" t="s">
        <v>494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9.2540159526712742</v>
      </c>
      <c r="S51" s="9">
        <v>0</v>
      </c>
      <c r="T51" s="9">
        <v>0.95868072217692724</v>
      </c>
      <c r="U51" s="9">
        <v>0</v>
      </c>
      <c r="V51" s="9">
        <v>10.69531546318364</v>
      </c>
      <c r="W51" s="9">
        <v>0</v>
      </c>
      <c r="X51" s="9">
        <v>2.8581246389765558</v>
      </c>
      <c r="Y51" s="9">
        <v>0</v>
      </c>
      <c r="Z51" s="9">
        <v>9.6374447477493863</v>
      </c>
      <c r="AA51" s="9">
        <v>0</v>
      </c>
      <c r="AB51" s="9">
        <v>10.805845064652232</v>
      </c>
      <c r="AC51" s="9">
        <v>0</v>
      </c>
      <c r="AD51" s="9">
        <v>2.7247227771270097</v>
      </c>
      <c r="AE51" s="9">
        <v>10.018509245447822</v>
      </c>
      <c r="AF51" s="9">
        <v>10.130479213239269</v>
      </c>
      <c r="AG51" s="9">
        <v>8.3462832997435683</v>
      </c>
      <c r="AH51" s="9">
        <v>0.87369158733729357</v>
      </c>
      <c r="AI51" s="9">
        <v>6.1057444293499588</v>
      </c>
      <c r="AJ51" s="9">
        <v>12.210739574759996</v>
      </c>
      <c r="AK51" s="9">
        <v>8.2786605258466555</v>
      </c>
      <c r="AL51" s="9">
        <v>9.7771069841354024</v>
      </c>
      <c r="AM51" s="9">
        <v>0</v>
      </c>
      <c r="AN51" s="9">
        <v>10.361592191828391</v>
      </c>
      <c r="AO51" s="9">
        <v>5.1652750708416546</v>
      </c>
      <c r="AP51" s="9">
        <v>10.018305082842739</v>
      </c>
      <c r="AQ51" s="9">
        <v>5.8066536848898034</v>
      </c>
      <c r="AR51" s="9">
        <v>5.2699830100181364</v>
      </c>
      <c r="AS51" s="9">
        <v>0</v>
      </c>
      <c r="AT51" s="9">
        <v>5.2146006825623665</v>
      </c>
      <c r="AU51" s="9">
        <v>5.7539205374863185</v>
      </c>
      <c r="AV51" s="9">
        <v>11.230151034828815</v>
      </c>
      <c r="AW51" s="9">
        <v>8.559418200654143</v>
      </c>
      <c r="AX51" s="9">
        <v>11.431039778533107</v>
      </c>
      <c r="AY51" s="9">
        <v>8.4638415084425258</v>
      </c>
      <c r="AZ51" s="9">
        <v>4.7302679536773207</v>
      </c>
      <c r="BA51" s="9">
        <v>0</v>
      </c>
      <c r="BB51" s="9">
        <v>3.9103715139099173</v>
      </c>
      <c r="BC51" s="9">
        <v>0</v>
      </c>
    </row>
    <row r="52" spans="1:55" ht="15.75" customHeight="1" x14ac:dyDescent="0.3">
      <c r="A52" s="11" t="s">
        <v>500</v>
      </c>
      <c r="B52" s="9">
        <v>113.48813160511627</v>
      </c>
      <c r="C52" s="9">
        <v>100.14287648993918</v>
      </c>
      <c r="D52" s="9">
        <v>85.520895420480187</v>
      </c>
      <c r="E52" s="9">
        <v>93.8</v>
      </c>
      <c r="F52" s="9">
        <v>80.761248340792008</v>
      </c>
      <c r="G52" s="9">
        <v>99.171328182502393</v>
      </c>
      <c r="H52" s="9">
        <v>92.169167687849509</v>
      </c>
      <c r="I52" s="9">
        <v>106.23031654997233</v>
      </c>
      <c r="J52" s="9">
        <v>83.459779245349978</v>
      </c>
      <c r="K52" s="9">
        <v>37.887695665553785</v>
      </c>
      <c r="L52" s="9">
        <v>50.1</v>
      </c>
      <c r="M52" s="9">
        <v>50.008189681734216</v>
      </c>
      <c r="N52" s="9">
        <v>54.307145834190244</v>
      </c>
      <c r="O52" s="9">
        <v>15.98407368670501</v>
      </c>
      <c r="P52" s="9">
        <v>3.1</v>
      </c>
      <c r="Q52" s="9">
        <v>9.0333333333333332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</row>
    <row r="53" spans="1:55" ht="15.75" customHeight="1" x14ac:dyDescent="0.3">
      <c r="A53" s="11" t="s">
        <v>499</v>
      </c>
      <c r="B53" s="9">
        <v>10.434765625791998</v>
      </c>
      <c r="C53" s="9">
        <v>8.832379940109762</v>
      </c>
      <c r="D53" s="9">
        <v>8.0480466498274978</v>
      </c>
      <c r="E53" s="9">
        <v>7.8380026896785582</v>
      </c>
      <c r="F53" s="9">
        <v>7.9190899745262966</v>
      </c>
      <c r="G53" s="9">
        <v>8.5604390176621781</v>
      </c>
      <c r="H53" s="9">
        <v>6.7823074850755916</v>
      </c>
      <c r="I53" s="9">
        <v>8.9381280138427783</v>
      </c>
      <c r="J53" s="9">
        <v>7.0123245662963081</v>
      </c>
      <c r="K53" s="9">
        <v>9.9849687963228444</v>
      </c>
      <c r="L53" s="9">
        <v>8.9484807726297024</v>
      </c>
      <c r="M53" s="9">
        <v>8.5730024339550592</v>
      </c>
      <c r="N53" s="9">
        <v>6.0797007095336424</v>
      </c>
      <c r="O53" s="9">
        <v>6.7656063217622169</v>
      </c>
      <c r="P53" s="9">
        <v>4.7</v>
      </c>
      <c r="Q53" s="9">
        <v>5.2</v>
      </c>
      <c r="R53" s="9">
        <v>37.136936852824256</v>
      </c>
      <c r="S53" s="9">
        <v>7.3744850234318831</v>
      </c>
      <c r="T53" s="9">
        <v>43.936046881083577</v>
      </c>
      <c r="U53" s="9">
        <v>7.4843673506608495</v>
      </c>
      <c r="V53" s="9">
        <v>41.699843372922139</v>
      </c>
      <c r="W53" s="9">
        <v>8.2545459407354755</v>
      </c>
      <c r="X53" s="9">
        <v>41.007705817368425</v>
      </c>
      <c r="Y53" s="9">
        <v>6.5497793856651745</v>
      </c>
      <c r="Z53" s="9">
        <v>24.481991241876017</v>
      </c>
      <c r="AA53" s="9">
        <v>4.3451844474056296</v>
      </c>
      <c r="AB53" s="9">
        <v>37.732621987652799</v>
      </c>
      <c r="AC53" s="9">
        <v>9.1990333787622305</v>
      </c>
      <c r="AD53" s="9">
        <v>42.151870083877675</v>
      </c>
      <c r="AE53" s="9">
        <v>9.8245606980935136</v>
      </c>
      <c r="AF53" s="9">
        <v>40.106738999454869</v>
      </c>
      <c r="AG53" s="9">
        <v>9.9108453080939203</v>
      </c>
      <c r="AH53" s="9">
        <v>43.94237272596127</v>
      </c>
      <c r="AI53" s="9">
        <v>10.138752809235941</v>
      </c>
      <c r="AJ53" s="9">
        <v>33.029963141182328</v>
      </c>
      <c r="AK53" s="9">
        <v>7.7582729264222623</v>
      </c>
      <c r="AL53" s="9">
        <v>52.371677266483523</v>
      </c>
      <c r="AM53" s="9">
        <v>17.320587888888497</v>
      </c>
      <c r="AN53" s="9">
        <v>30.302157221424778</v>
      </c>
      <c r="AO53" s="9">
        <v>7.005606100491768</v>
      </c>
      <c r="AP53" s="9">
        <v>28.481343025591485</v>
      </c>
      <c r="AQ53" s="9">
        <v>6.0994603703422898</v>
      </c>
      <c r="AR53" s="9">
        <v>16.505492368340331</v>
      </c>
      <c r="AS53" s="9">
        <v>3.6717401674540802</v>
      </c>
      <c r="AT53" s="9">
        <v>33.196554153081252</v>
      </c>
      <c r="AU53" s="9">
        <v>8.7073622365118677</v>
      </c>
      <c r="AV53" s="9">
        <v>39.139244857167185</v>
      </c>
      <c r="AW53" s="9">
        <v>9.3066379336469893</v>
      </c>
      <c r="AX53" s="9">
        <v>42.793636250473575</v>
      </c>
      <c r="AY53" s="9">
        <v>9.0266488335957593</v>
      </c>
      <c r="AZ53" s="9">
        <v>24.204751980223804</v>
      </c>
      <c r="BA53" s="9">
        <v>4.7140095624510208</v>
      </c>
      <c r="BB53" s="9">
        <v>22.706568418989246</v>
      </c>
      <c r="BC53" s="9">
        <v>4.5462621140807258</v>
      </c>
    </row>
    <row r="54" spans="1:55" ht="15.75" customHeight="1" x14ac:dyDescent="0.3">
      <c r="A54" s="11" t="s">
        <v>192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9">
        <v>7.2646855284680845</v>
      </c>
      <c r="S54" s="9">
        <v>12.361176686419221</v>
      </c>
      <c r="T54" s="9">
        <v>9.6078294400622344</v>
      </c>
      <c r="U54" s="9">
        <v>11.852332720492717</v>
      </c>
      <c r="V54" s="9">
        <v>6.2910613494218994</v>
      </c>
      <c r="W54" s="9">
        <v>14.320209842074911</v>
      </c>
      <c r="X54" s="9">
        <v>7.4484135395382074</v>
      </c>
      <c r="Y54" s="9">
        <v>23.094936164241989</v>
      </c>
      <c r="Z54" s="9">
        <v>9.6856881778529829</v>
      </c>
      <c r="AA54" s="9">
        <v>15.919375727875911</v>
      </c>
      <c r="AB54" s="9">
        <v>5.9898324427386624</v>
      </c>
      <c r="AC54" s="9">
        <v>21.21973853318293</v>
      </c>
      <c r="AD54" s="9">
        <v>11.505577948335699</v>
      </c>
      <c r="AE54" s="9">
        <v>24.315472829807593</v>
      </c>
      <c r="AF54" s="9">
        <v>6.9700765644424925</v>
      </c>
      <c r="AG54" s="9">
        <v>26.457575694271373</v>
      </c>
      <c r="AH54" s="9">
        <v>8.3560736798035329</v>
      </c>
      <c r="AI54" s="9">
        <v>24.786876644035207</v>
      </c>
      <c r="AJ54" s="9">
        <v>7.1092801343905734</v>
      </c>
      <c r="AK54" s="9">
        <v>19.706754720542317</v>
      </c>
      <c r="AL54" s="9">
        <v>7.938679460759448</v>
      </c>
      <c r="AM54" s="9">
        <v>18.536840270785639</v>
      </c>
      <c r="AN54" s="9">
        <v>7.7032155726133453</v>
      </c>
      <c r="AO54" s="9">
        <v>21.119533319851467</v>
      </c>
      <c r="AP54" s="9">
        <v>4.6550534702273163</v>
      </c>
      <c r="AQ54" s="9">
        <v>24.525114884139583</v>
      </c>
      <c r="AR54" s="9">
        <v>18.760050948940449</v>
      </c>
      <c r="AS54" s="9">
        <v>14.397201850478353</v>
      </c>
      <c r="AT54" s="9">
        <v>205.82149772632079</v>
      </c>
      <c r="AU54" s="9">
        <v>21.512706007021432</v>
      </c>
      <c r="AV54" s="9">
        <v>8.8447505278768759</v>
      </c>
      <c r="AW54" s="9">
        <v>24.939572697424779</v>
      </c>
      <c r="AX54" s="9">
        <v>8.5364333632097296</v>
      </c>
      <c r="AY54" s="9">
        <v>23.921683115326335</v>
      </c>
      <c r="AZ54" s="9">
        <v>40.031038089017002</v>
      </c>
      <c r="BA54" s="9">
        <v>14.321631878620565</v>
      </c>
      <c r="BB54" s="9">
        <v>17.563983771435677</v>
      </c>
      <c r="BC54" s="9">
        <v>15.82644919426024</v>
      </c>
    </row>
    <row r="55" spans="1:55" ht="15.75" customHeight="1" x14ac:dyDescent="0.3">
      <c r="A55" s="11" t="s">
        <v>539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9">
        <v>9.9393346601058905</v>
      </c>
      <c r="S55" s="9">
        <v>0</v>
      </c>
      <c r="T55" s="9">
        <v>11.470485996574391</v>
      </c>
      <c r="U55" s="9">
        <v>0</v>
      </c>
      <c r="V55" s="9">
        <v>14.520722642358763</v>
      </c>
      <c r="W55" s="9">
        <v>2.2171529341580931</v>
      </c>
      <c r="X55" s="9">
        <v>33.210185949992457</v>
      </c>
      <c r="Y55" s="9">
        <v>3.4476355388329218</v>
      </c>
      <c r="Z55" s="9">
        <v>29.464617412054157</v>
      </c>
      <c r="AA55" s="9">
        <v>2.8945732114474603</v>
      </c>
      <c r="AB55" s="9">
        <v>17.192391425844693</v>
      </c>
      <c r="AC55" s="9">
        <v>2.5844180152221181</v>
      </c>
      <c r="AD55" s="9">
        <v>15.023320098818422</v>
      </c>
      <c r="AE55" s="9">
        <v>2.3285739563745778</v>
      </c>
      <c r="AF55" s="9">
        <v>19.428889650205232</v>
      </c>
      <c r="AG55" s="9">
        <v>2.853176776430375</v>
      </c>
      <c r="AH55" s="9">
        <v>20.268779126542821</v>
      </c>
      <c r="AI55" s="9">
        <v>3.1061427424953982</v>
      </c>
      <c r="AJ55" s="9">
        <v>21.213813093442798</v>
      </c>
      <c r="AK55" s="9">
        <v>1.1711319030253329</v>
      </c>
      <c r="AL55" s="9">
        <v>10.856213644368736</v>
      </c>
      <c r="AM55" s="9">
        <v>2.1006113203284245</v>
      </c>
      <c r="AN55" s="9">
        <v>32.728872907418385</v>
      </c>
      <c r="AO55" s="9">
        <v>4.9588998879200483</v>
      </c>
      <c r="AP55" s="9">
        <v>41.45497822399809</v>
      </c>
      <c r="AQ55" s="9">
        <v>8.3850476180422149</v>
      </c>
      <c r="AR55" s="9">
        <v>313.5514661864762</v>
      </c>
      <c r="AS55" s="9">
        <v>48.988384003240348</v>
      </c>
      <c r="AT55" s="9">
        <v>31.768829835836321</v>
      </c>
      <c r="AU55" s="9">
        <v>6.5224132041198137</v>
      </c>
      <c r="AV55" s="9">
        <v>17.267031531887685</v>
      </c>
      <c r="AW55" s="9">
        <v>2.2181489484612116</v>
      </c>
      <c r="AX55" s="9">
        <v>13.961708581101911</v>
      </c>
      <c r="AY55" s="9">
        <v>1.0047001937659474</v>
      </c>
      <c r="AZ55" s="9">
        <v>207.23023437478878</v>
      </c>
      <c r="BA55" s="9">
        <v>32.254170789576243</v>
      </c>
      <c r="BB55" s="9">
        <v>217.15264029781903</v>
      </c>
      <c r="BC55" s="9">
        <v>32.963711461633928</v>
      </c>
    </row>
    <row r="56" spans="1:55" ht="15.75" customHeight="1" x14ac:dyDescent="0.3">
      <c r="A56" s="11" t="s">
        <v>193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9">
        <v>4.1878670968253191</v>
      </c>
      <c r="S56" s="9">
        <v>0</v>
      </c>
      <c r="T56" s="9">
        <v>0</v>
      </c>
      <c r="U56" s="9">
        <v>0</v>
      </c>
      <c r="V56" s="9">
        <v>4.5007132194303585</v>
      </c>
      <c r="W56" s="9">
        <v>0</v>
      </c>
      <c r="X56" s="9">
        <v>0</v>
      </c>
      <c r="Y56" s="9">
        <v>0</v>
      </c>
      <c r="Z56" s="9">
        <v>5.4751946471989372</v>
      </c>
      <c r="AA56" s="9">
        <v>0</v>
      </c>
      <c r="AB56" s="9">
        <v>3.0161562409222111</v>
      </c>
      <c r="AC56" s="9">
        <v>0</v>
      </c>
      <c r="AD56" s="9">
        <v>5.3910675257693592</v>
      </c>
      <c r="AE56" s="9">
        <v>0</v>
      </c>
      <c r="AF56" s="9">
        <v>4.7676270860811902</v>
      </c>
      <c r="AG56" s="9">
        <v>0</v>
      </c>
      <c r="AH56" s="9">
        <v>1.6747135672125057</v>
      </c>
      <c r="AI56" s="9">
        <v>0</v>
      </c>
      <c r="AJ56" s="9">
        <v>5.0820580075454229</v>
      </c>
      <c r="AK56" s="9">
        <v>0</v>
      </c>
      <c r="AL56" s="9">
        <v>4.5424949639484344</v>
      </c>
      <c r="AM56" s="9">
        <v>0</v>
      </c>
      <c r="AN56" s="9">
        <v>4.9284402590905669</v>
      </c>
      <c r="AO56" s="9">
        <v>0</v>
      </c>
      <c r="AP56" s="9">
        <v>0.95397043231614387</v>
      </c>
      <c r="AQ56" s="9">
        <v>0</v>
      </c>
      <c r="AR56" s="9">
        <v>12.325270131465411</v>
      </c>
      <c r="AS56" s="9">
        <v>0</v>
      </c>
      <c r="AT56" s="9">
        <v>22.544892995341421</v>
      </c>
      <c r="AU56" s="9">
        <v>0</v>
      </c>
      <c r="AV56" s="9">
        <v>5.4651321511760687</v>
      </c>
      <c r="AW56" s="9">
        <v>0</v>
      </c>
      <c r="AX56" s="9">
        <v>5.1979495900226516</v>
      </c>
      <c r="AY56" s="9">
        <v>0</v>
      </c>
      <c r="AZ56" s="9">
        <v>13.168231171320882</v>
      </c>
      <c r="BA56" s="9">
        <v>0</v>
      </c>
      <c r="BB56" s="9">
        <v>0</v>
      </c>
      <c r="BC56" s="9">
        <v>0</v>
      </c>
    </row>
    <row r="57" spans="1:55" ht="15.75" customHeight="1" x14ac:dyDescent="0.3">
      <c r="A57" s="11" t="s">
        <v>538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14.963629060771879</v>
      </c>
      <c r="AS57" s="9">
        <v>2.7187466348359273</v>
      </c>
      <c r="AT57" s="9">
        <v>7.2866325134325667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6.9787727971243152</v>
      </c>
      <c r="BA57" s="9">
        <v>0</v>
      </c>
      <c r="BB57" s="9">
        <v>9.9419655263678806</v>
      </c>
      <c r="BC57" s="9">
        <v>0</v>
      </c>
    </row>
    <row r="58" spans="1:55" ht="15.75" customHeight="1" x14ac:dyDescent="0.3">
      <c r="A58" s="11" t="s">
        <v>194</v>
      </c>
      <c r="B58" s="9">
        <v>36.939744673575568</v>
      </c>
      <c r="C58" s="9">
        <v>10.911306553511004</v>
      </c>
      <c r="D58" s="9">
        <v>9.5414028250688911</v>
      </c>
      <c r="E58" s="9">
        <v>8.6263424451413879</v>
      </c>
      <c r="F58" s="9">
        <v>7.5634226209796216</v>
      </c>
      <c r="G58" s="9">
        <v>8.9831050655563107</v>
      </c>
      <c r="H58" s="9">
        <v>5.4616417476366808</v>
      </c>
      <c r="I58" s="9">
        <v>35.50760883008217</v>
      </c>
      <c r="J58" s="9">
        <v>54.1</v>
      </c>
      <c r="K58" s="9">
        <v>33.2693903058139</v>
      </c>
      <c r="L58" s="9">
        <v>40.522942578172938</v>
      </c>
      <c r="M58" s="9">
        <v>41.1</v>
      </c>
      <c r="N58" s="9">
        <v>33.145567786080726</v>
      </c>
      <c r="O58" s="9">
        <v>24.669728497679326</v>
      </c>
      <c r="P58" s="9">
        <v>10.3</v>
      </c>
      <c r="Q58" s="9">
        <v>18.866666666666671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</row>
    <row r="59" spans="1:55" ht="15.75" customHeight="1" x14ac:dyDescent="0.3">
      <c r="A59" s="11" t="s">
        <v>551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9">
        <v>0</v>
      </c>
      <c r="S59" s="9">
        <v>0</v>
      </c>
      <c r="T59" s="9">
        <v>5.12245265731194</v>
      </c>
      <c r="U59" s="9">
        <v>0</v>
      </c>
      <c r="V59" s="9">
        <v>2.743625027774423</v>
      </c>
      <c r="W59" s="9">
        <v>0</v>
      </c>
      <c r="X59" s="9">
        <v>5.3207564642866823</v>
      </c>
      <c r="Y59" s="9">
        <v>0</v>
      </c>
      <c r="Z59" s="9">
        <v>4.168663442393389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3.34462411677907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3.8682962312977351</v>
      </c>
      <c r="AO59" s="9">
        <v>0</v>
      </c>
      <c r="AP59" s="9">
        <v>5.1007044853098611</v>
      </c>
      <c r="AQ59" s="9">
        <v>0</v>
      </c>
      <c r="AR59" s="9">
        <v>52.806407800097411</v>
      </c>
      <c r="AS59" s="9">
        <v>16.403146236337417</v>
      </c>
      <c r="AT59" s="9">
        <v>3.2883689458732226</v>
      </c>
      <c r="AU59" s="9">
        <v>0</v>
      </c>
      <c r="AV59" s="9">
        <v>4.510439733795871</v>
      </c>
      <c r="AW59" s="9">
        <v>0</v>
      </c>
      <c r="AX59" s="9">
        <v>2.055824028593944</v>
      </c>
      <c r="AY59" s="9">
        <v>0</v>
      </c>
      <c r="AZ59" s="9">
        <v>47.521928021029659</v>
      </c>
      <c r="BA59" s="9">
        <v>14.731510562999249</v>
      </c>
      <c r="BB59" s="9">
        <v>49.606705541068322</v>
      </c>
      <c r="BC59" s="9">
        <v>13.600877058752983</v>
      </c>
    </row>
    <row r="60" spans="1:55" ht="15.75" customHeight="1" x14ac:dyDescent="0.3">
      <c r="A60" s="3" t="s">
        <v>68</v>
      </c>
      <c r="B60" s="8">
        <f>SUM(B2:B59)</f>
        <v>445.54119151808806</v>
      </c>
      <c r="C60" s="8">
        <f>SUM(C2:C59)</f>
        <v>404.30263475857441</v>
      </c>
      <c r="D60" s="8">
        <f t="shared" ref="D60:BC60" si="0">SUM(D2:D59)</f>
        <v>355.50931231294629</v>
      </c>
      <c r="E60" s="8">
        <f t="shared" si="0"/>
        <v>335.31305297586732</v>
      </c>
      <c r="F60" s="8">
        <f t="shared" si="0"/>
        <v>317.41838426389495</v>
      </c>
      <c r="G60" s="8">
        <f t="shared" si="0"/>
        <v>356.8976240339079</v>
      </c>
      <c r="H60" s="8">
        <f t="shared" si="0"/>
        <v>358.99912907738832</v>
      </c>
      <c r="I60" s="8">
        <f t="shared" si="0"/>
        <v>411.38983084960364</v>
      </c>
      <c r="J60" s="8">
        <f t="shared" si="0"/>
        <v>345.5400815159548</v>
      </c>
      <c r="K60" s="8">
        <f t="shared" si="0"/>
        <v>269.9138283720855</v>
      </c>
      <c r="L60" s="8">
        <f t="shared" si="0"/>
        <v>290.29028253199459</v>
      </c>
      <c r="M60" s="8">
        <f t="shared" si="0"/>
        <v>291.24835218862256</v>
      </c>
      <c r="N60" s="8">
        <f t="shared" si="0"/>
        <v>306.51447647536361</v>
      </c>
      <c r="O60" s="8">
        <f t="shared" si="0"/>
        <v>280.06613514764325</v>
      </c>
      <c r="P60" s="8">
        <f t="shared" si="0"/>
        <v>139.03333333333333</v>
      </c>
      <c r="Q60" s="8">
        <f t="shared" si="0"/>
        <v>158.30000000000001</v>
      </c>
      <c r="R60" s="8">
        <f t="shared" si="0"/>
        <v>6161.5983393506976</v>
      </c>
      <c r="S60" s="8">
        <f t="shared" si="0"/>
        <v>1024.0045400830932</v>
      </c>
      <c r="T60" s="8">
        <f t="shared" si="0"/>
        <v>6938.8562092880302</v>
      </c>
      <c r="U60" s="8">
        <f t="shared" si="0"/>
        <v>1031.3904042304821</v>
      </c>
      <c r="V60" s="8">
        <f t="shared" si="0"/>
        <v>7010.5713963247199</v>
      </c>
      <c r="W60" s="8">
        <f t="shared" si="0"/>
        <v>1195.5716767960373</v>
      </c>
      <c r="X60" s="8">
        <f t="shared" si="0"/>
        <v>7884.6779906659767</v>
      </c>
      <c r="Y60" s="8">
        <f t="shared" si="0"/>
        <v>1068.9888681553919</v>
      </c>
      <c r="Z60" s="8">
        <f t="shared" si="0"/>
        <v>5775.1403128692173</v>
      </c>
      <c r="AA60" s="8">
        <f t="shared" si="0"/>
        <v>790.69820406410838</v>
      </c>
      <c r="AB60" s="8">
        <f t="shared" si="0"/>
        <v>7038.7303582576633</v>
      </c>
      <c r="AC60" s="8">
        <f t="shared" si="0"/>
        <v>1582.9043789885541</v>
      </c>
      <c r="AD60" s="8">
        <f t="shared" si="0"/>
        <v>7867.8540804434506</v>
      </c>
      <c r="AE60" s="8">
        <f t="shared" si="0"/>
        <v>1722.1503964087397</v>
      </c>
      <c r="AF60" s="8">
        <f t="shared" si="0"/>
        <v>6921.5602145282746</v>
      </c>
      <c r="AG60" s="8">
        <f t="shared" si="0"/>
        <v>1449.8599342082646</v>
      </c>
      <c r="AH60" s="8">
        <f t="shared" si="0"/>
        <v>7654.1178995019263</v>
      </c>
      <c r="AI60" s="8">
        <f t="shared" si="0"/>
        <v>1479.4155124021122</v>
      </c>
      <c r="AJ60" s="8">
        <f t="shared" si="0"/>
        <v>6537.5401437922801</v>
      </c>
      <c r="AK60" s="8">
        <f t="shared" si="0"/>
        <v>1229.8085970779705</v>
      </c>
      <c r="AL60" s="8">
        <f t="shared" si="0"/>
        <v>6510.2546645843713</v>
      </c>
      <c r="AM60" s="8">
        <f t="shared" si="0"/>
        <v>1890.6328663260206</v>
      </c>
      <c r="AN60" s="8">
        <f t="shared" si="0"/>
        <v>6721.5594169639207</v>
      </c>
      <c r="AO60" s="8">
        <f t="shared" si="0"/>
        <v>1229.8592116960981</v>
      </c>
      <c r="AP60" s="8">
        <f t="shared" si="0"/>
        <v>6738.6343402180191</v>
      </c>
      <c r="AQ60" s="8">
        <f t="shared" si="0"/>
        <v>1609.9048055857809</v>
      </c>
      <c r="AR60" s="8">
        <f t="shared" si="0"/>
        <v>8581.9199889335141</v>
      </c>
      <c r="AS60" s="8">
        <f t="shared" si="0"/>
        <v>1338.5714797119808</v>
      </c>
      <c r="AT60" s="8">
        <f t="shared" si="0"/>
        <v>6929.7226286339128</v>
      </c>
      <c r="AU60" s="8">
        <f t="shared" si="0"/>
        <v>1640.9141626345167</v>
      </c>
      <c r="AV60" s="8">
        <f t="shared" si="0"/>
        <v>7012.7045976683348</v>
      </c>
      <c r="AW60" s="8">
        <f t="shared" si="0"/>
        <v>1422.815626746451</v>
      </c>
      <c r="AX60" s="8">
        <f t="shared" si="0"/>
        <v>7093.1521227067433</v>
      </c>
      <c r="AY60" s="8">
        <f t="shared" si="0"/>
        <v>1265.2398367740614</v>
      </c>
      <c r="AZ60" s="8">
        <f t="shared" si="0"/>
        <v>8227.2158331281189</v>
      </c>
      <c r="BA60" s="8">
        <f t="shared" si="0"/>
        <v>1259.7707715895556</v>
      </c>
      <c r="BB60" s="8">
        <f t="shared" si="0"/>
        <v>8526.3926365206262</v>
      </c>
      <c r="BC60" s="8">
        <f t="shared" si="0"/>
        <v>1202.049726941299</v>
      </c>
    </row>
    <row r="61" spans="1:55" ht="15.75" customHeight="1" x14ac:dyDescent="0.3">
      <c r="A61" s="7" t="s">
        <v>241</v>
      </c>
    </row>
  </sheetData>
  <phoneticPr fontId="3" type="noConversion"/>
  <conditionalFormatting sqref="A59:A60">
    <cfRule type="duplicateValues" dxfId="3" priority="3"/>
  </conditionalFormatting>
  <conditionalFormatting sqref="A2:A58 A6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48"/>
  <sheetViews>
    <sheetView zoomScaleNormal="100" workbookViewId="0">
      <pane xSplit="1" ySplit="1" topLeftCell="O3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customHeight="1" x14ac:dyDescent="0.3"/>
  <cols>
    <col min="1" max="1" width="64.625" style="38" bestFit="1" customWidth="1"/>
    <col min="2" max="2" width="9.25" style="37" bestFit="1" customWidth="1"/>
    <col min="3" max="3" width="11" style="37" bestFit="1" customWidth="1"/>
    <col min="4" max="4" width="7.5" style="37" bestFit="1" customWidth="1"/>
    <col min="5" max="5" width="8.5" style="37" bestFit="1" customWidth="1"/>
    <col min="6" max="7" width="7.5" style="37" bestFit="1" customWidth="1"/>
    <col min="8" max="8" width="11" style="37" bestFit="1" customWidth="1"/>
    <col min="9" max="9" width="16.375" style="37" bestFit="1" customWidth="1"/>
    <col min="10" max="10" width="8.5" style="37" bestFit="1" customWidth="1"/>
    <col min="11" max="11" width="7.5" style="37" bestFit="1" customWidth="1"/>
    <col min="12" max="13" width="8" style="37" bestFit="1" customWidth="1"/>
    <col min="14" max="15" width="7.5" style="37" bestFit="1" customWidth="1"/>
    <col min="16" max="17" width="9.625" style="37" bestFit="1" customWidth="1"/>
    <col min="18" max="18" width="6.5" style="37" bestFit="1" customWidth="1"/>
    <col min="19" max="20" width="7.5" style="37" bestFit="1" customWidth="1"/>
    <col min="21" max="21" width="8" style="37" bestFit="1" customWidth="1"/>
    <col min="22" max="22" width="8.5" style="37" bestFit="1" customWidth="1"/>
    <col min="23" max="23" width="8" style="37" bestFit="1" customWidth="1"/>
    <col min="24" max="16384" width="9" style="37"/>
  </cols>
  <sheetData>
    <row r="1" spans="1:163" s="35" customFormat="1" ht="16.5" x14ac:dyDescent="0.3">
      <c r="A1" s="3" t="s">
        <v>67</v>
      </c>
      <c r="B1" s="3" t="s">
        <v>213</v>
      </c>
      <c r="C1" s="3" t="s">
        <v>214</v>
      </c>
      <c r="D1" s="3" t="s">
        <v>215</v>
      </c>
      <c r="E1" s="3" t="s">
        <v>216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223</v>
      </c>
      <c r="M1" s="3" t="s">
        <v>224</v>
      </c>
      <c r="N1" s="3" t="s">
        <v>225</v>
      </c>
      <c r="O1" s="3" t="s">
        <v>226</v>
      </c>
      <c r="P1" s="3" t="s">
        <v>227</v>
      </c>
      <c r="Q1" s="3" t="s">
        <v>228</v>
      </c>
      <c r="R1" s="3" t="s">
        <v>229</v>
      </c>
      <c r="S1" s="3" t="s">
        <v>230</v>
      </c>
      <c r="T1" s="3" t="s">
        <v>231</v>
      </c>
      <c r="U1" s="3" t="s">
        <v>232</v>
      </c>
      <c r="V1" s="3" t="s">
        <v>233</v>
      </c>
      <c r="W1" s="3" t="s">
        <v>234</v>
      </c>
      <c r="X1" s="12"/>
      <c r="Y1" s="12"/>
      <c r="Z1" s="12"/>
      <c r="AA1" s="12"/>
      <c r="AB1" s="12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</row>
    <row r="2" spans="1:163" ht="15.75" customHeight="1" x14ac:dyDescent="0.3">
      <c r="A2" s="19" t="s">
        <v>509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22.16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</row>
    <row r="3" spans="1:163" ht="15.75" customHeight="1" x14ac:dyDescent="0.3">
      <c r="A3" s="19" t="s">
        <v>508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90.484439332329359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 spans="1:163" ht="15.75" customHeight="1" x14ac:dyDescent="0.3">
      <c r="A4" s="19" t="s">
        <v>510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24.5</v>
      </c>
      <c r="W4" s="9">
        <v>0</v>
      </c>
    </row>
    <row r="5" spans="1:163" ht="15.75" customHeight="1" x14ac:dyDescent="0.3">
      <c r="A5" s="19" t="s">
        <v>525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37.28</v>
      </c>
      <c r="W5" s="9">
        <v>8.1199999999999992</v>
      </c>
    </row>
    <row r="6" spans="1:163" ht="15.75" customHeight="1" x14ac:dyDescent="0.3">
      <c r="A6" s="19" t="s">
        <v>522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411.87</v>
      </c>
      <c r="W6" s="9">
        <v>8.1999999999999993</v>
      </c>
    </row>
    <row r="7" spans="1:163" ht="15.75" customHeight="1" x14ac:dyDescent="0.3">
      <c r="A7" s="19" t="s">
        <v>523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22.45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3227.37</v>
      </c>
      <c r="W7" s="9">
        <v>285.66000000000003</v>
      </c>
    </row>
    <row r="8" spans="1:163" ht="15.75" customHeight="1" x14ac:dyDescent="0.3">
      <c r="A8" s="19" t="s">
        <v>524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21.77</v>
      </c>
      <c r="W8" s="9">
        <v>0</v>
      </c>
    </row>
    <row r="9" spans="1:163" ht="15.75" customHeight="1" x14ac:dyDescent="0.3">
      <c r="A9" s="19" t="s">
        <v>511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6.98</v>
      </c>
      <c r="W9" s="9">
        <v>0</v>
      </c>
    </row>
    <row r="10" spans="1:163" ht="15.75" customHeight="1" x14ac:dyDescent="0.3">
      <c r="A10" s="19" t="s">
        <v>512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33.799999999999997</v>
      </c>
      <c r="W10" s="9">
        <v>0</v>
      </c>
    </row>
    <row r="11" spans="1:163" ht="15.75" customHeight="1" x14ac:dyDescent="0.3">
      <c r="A11" s="19" t="s">
        <v>513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20.73</v>
      </c>
      <c r="W11" s="9">
        <v>0</v>
      </c>
    </row>
    <row r="12" spans="1:163" ht="15.75" customHeight="1" x14ac:dyDescent="0.3">
      <c r="A12" s="19" t="s">
        <v>514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6.79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7.47</v>
      </c>
      <c r="Q12" s="9">
        <v>3.35</v>
      </c>
      <c r="R12" s="9">
        <v>0</v>
      </c>
      <c r="S12" s="9">
        <v>20</v>
      </c>
      <c r="T12" s="9">
        <v>0</v>
      </c>
      <c r="U12" s="9">
        <v>2.2999999999999998</v>
      </c>
      <c r="V12" s="9">
        <v>0</v>
      </c>
      <c r="W12" s="9">
        <v>10.94</v>
      </c>
    </row>
    <row r="13" spans="1:163" ht="15.75" customHeight="1" x14ac:dyDescent="0.3">
      <c r="A13" s="19" t="s">
        <v>515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12.67</v>
      </c>
      <c r="W13" s="9">
        <v>0</v>
      </c>
    </row>
    <row r="14" spans="1:163" ht="15.75" customHeight="1" x14ac:dyDescent="0.3">
      <c r="A14" s="19" t="s">
        <v>516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2.36</v>
      </c>
      <c r="W14" s="9">
        <v>0</v>
      </c>
    </row>
    <row r="15" spans="1:163" ht="15.75" customHeight="1" x14ac:dyDescent="0.3">
      <c r="A15" s="19" t="s">
        <v>517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65.81</v>
      </c>
      <c r="W15" s="9">
        <v>0</v>
      </c>
    </row>
    <row r="16" spans="1:163" ht="15.75" customHeight="1" x14ac:dyDescent="0.3">
      <c r="A16" s="19" t="s">
        <v>518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71.819999999999993</v>
      </c>
      <c r="W16" s="9">
        <v>0</v>
      </c>
    </row>
    <row r="17" spans="1:28" ht="15.75" customHeight="1" x14ac:dyDescent="0.3">
      <c r="A17" s="19" t="s">
        <v>519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6.13</v>
      </c>
      <c r="W17" s="9">
        <v>0</v>
      </c>
      <c r="X17" s="10"/>
      <c r="Y17" s="10"/>
      <c r="Z17" s="10"/>
      <c r="AA17" s="10"/>
      <c r="AB17" s="10"/>
    </row>
    <row r="18" spans="1:28" ht="15.75" customHeight="1" x14ac:dyDescent="0.3">
      <c r="A18" s="19" t="s">
        <v>520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7.08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0"/>
      <c r="Y18" s="10"/>
      <c r="Z18" s="10"/>
      <c r="AA18" s="10"/>
      <c r="AB18" s="10"/>
    </row>
    <row r="19" spans="1:28" ht="15.75" customHeight="1" x14ac:dyDescent="0.3">
      <c r="A19" s="19" t="s">
        <v>521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78.83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17.940000000000001</v>
      </c>
      <c r="Q19" s="9">
        <v>0</v>
      </c>
      <c r="R19" s="9">
        <v>0</v>
      </c>
      <c r="S19" s="9">
        <v>0</v>
      </c>
      <c r="T19" s="9">
        <v>0</v>
      </c>
      <c r="U19" s="9">
        <v>38.53</v>
      </c>
      <c r="V19" s="9">
        <v>14.05</v>
      </c>
      <c r="W19" s="9">
        <v>0</v>
      </c>
      <c r="X19" s="10"/>
      <c r="Y19" s="10"/>
      <c r="Z19" s="10"/>
      <c r="AA19" s="10"/>
      <c r="AB19" s="10"/>
    </row>
    <row r="20" spans="1:28" ht="15.75" customHeight="1" x14ac:dyDescent="0.3">
      <c r="A20" s="19" t="s">
        <v>531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11.92</v>
      </c>
      <c r="L20" s="9">
        <v>0</v>
      </c>
      <c r="M20" s="9">
        <v>0</v>
      </c>
      <c r="N20" s="9">
        <v>0</v>
      </c>
      <c r="O20" s="9">
        <v>0</v>
      </c>
      <c r="P20" s="9">
        <v>16.46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1105.9100000000001</v>
      </c>
      <c r="W20" s="9">
        <v>82.05</v>
      </c>
      <c r="X20" s="10"/>
      <c r="Y20" s="10"/>
      <c r="Z20" s="10"/>
      <c r="AA20" s="10"/>
      <c r="AB20" s="10"/>
    </row>
    <row r="21" spans="1:28" ht="15.75" customHeight="1" x14ac:dyDescent="0.3">
      <c r="A21" s="19" t="s">
        <v>532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21.57</v>
      </c>
      <c r="W21" s="9">
        <v>0</v>
      </c>
      <c r="X21" s="10"/>
      <c r="Y21" s="10"/>
      <c r="Z21" s="10"/>
      <c r="AA21" s="10"/>
      <c r="AB21" s="10"/>
    </row>
    <row r="22" spans="1:28" ht="15.75" customHeight="1" x14ac:dyDescent="0.3">
      <c r="A22" s="19" t="s">
        <v>526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18.05</v>
      </c>
      <c r="W22" s="9">
        <v>0</v>
      </c>
      <c r="X22" s="10"/>
      <c r="Y22" s="10"/>
      <c r="Z22" s="10"/>
      <c r="AA22" s="10"/>
      <c r="AB22" s="10"/>
    </row>
    <row r="23" spans="1:28" ht="15.75" customHeight="1" x14ac:dyDescent="0.3">
      <c r="A23" s="19" t="s">
        <v>552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64.5</v>
      </c>
      <c r="H23" s="9">
        <v>31.04</v>
      </c>
      <c r="I23" s="9">
        <v>2.93</v>
      </c>
      <c r="J23" s="9">
        <v>10.68</v>
      </c>
      <c r="K23" s="9">
        <v>0</v>
      </c>
      <c r="L23" s="9">
        <v>0</v>
      </c>
      <c r="M23" s="9">
        <v>8.44</v>
      </c>
      <c r="N23" s="9">
        <v>0</v>
      </c>
      <c r="O23" s="9">
        <v>0</v>
      </c>
      <c r="P23" s="9">
        <v>47.07</v>
      </c>
      <c r="Q23" s="9">
        <v>19.39</v>
      </c>
      <c r="R23" s="9">
        <v>0</v>
      </c>
      <c r="S23" s="9">
        <v>85.24</v>
      </c>
      <c r="T23" s="9">
        <v>0</v>
      </c>
      <c r="U23" s="9">
        <v>22.51</v>
      </c>
      <c r="V23" s="9">
        <v>746.11</v>
      </c>
      <c r="W23" s="9">
        <v>7.25</v>
      </c>
      <c r="X23" s="10"/>
      <c r="Y23" s="10"/>
      <c r="Z23" s="10"/>
      <c r="AA23" s="10"/>
      <c r="AB23" s="10"/>
    </row>
    <row r="24" spans="1:28" ht="15.75" customHeight="1" x14ac:dyDescent="0.3">
      <c r="A24" s="19" t="s">
        <v>527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36.700000000000003</v>
      </c>
      <c r="W24" s="9">
        <v>0</v>
      </c>
    </row>
    <row r="25" spans="1:28" ht="15.75" customHeight="1" x14ac:dyDescent="0.3">
      <c r="A25" s="19" t="s">
        <v>528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26.75</v>
      </c>
      <c r="W25" s="9">
        <v>0</v>
      </c>
    </row>
    <row r="26" spans="1:28" ht="15.75" customHeight="1" x14ac:dyDescent="0.3">
      <c r="A26" s="19" t="s">
        <v>529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2.98</v>
      </c>
      <c r="W26" s="9">
        <v>0</v>
      </c>
      <c r="X26" s="10"/>
      <c r="Y26" s="10"/>
      <c r="Z26" s="10"/>
      <c r="AA26" s="10"/>
      <c r="AB26" s="10"/>
    </row>
    <row r="27" spans="1:28" ht="15.75" customHeight="1" x14ac:dyDescent="0.3">
      <c r="A27" s="19" t="s">
        <v>530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12.57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174.02</v>
      </c>
      <c r="Q27" s="9">
        <v>24.3</v>
      </c>
      <c r="R27" s="9">
        <v>0</v>
      </c>
      <c r="S27" s="9">
        <v>34.71</v>
      </c>
      <c r="T27" s="9">
        <v>0</v>
      </c>
      <c r="U27" s="9">
        <v>10.8</v>
      </c>
      <c r="V27" s="9">
        <v>8.39</v>
      </c>
      <c r="W27" s="9">
        <v>0</v>
      </c>
    </row>
    <row r="28" spans="1:28" ht="15.75" customHeight="1" x14ac:dyDescent="0.3">
      <c r="A28" s="19" t="s">
        <v>533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19.29</v>
      </c>
      <c r="W28" s="9">
        <v>0</v>
      </c>
    </row>
    <row r="29" spans="1:28" ht="15.75" customHeight="1" x14ac:dyDescent="0.3">
      <c r="A29" s="19" t="s">
        <v>357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74.64</v>
      </c>
      <c r="H29" s="9">
        <v>0</v>
      </c>
      <c r="I29" s="9">
        <v>0</v>
      </c>
      <c r="J29" s="9">
        <v>2166</v>
      </c>
      <c r="K29" s="9">
        <v>108.27</v>
      </c>
      <c r="L29" s="9">
        <v>0</v>
      </c>
      <c r="M29" s="9">
        <v>0</v>
      </c>
      <c r="N29" s="9">
        <v>0</v>
      </c>
      <c r="O29" s="9">
        <v>0</v>
      </c>
      <c r="P29" s="9">
        <v>9.76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1319.63</v>
      </c>
      <c r="W29" s="9">
        <v>96.89</v>
      </c>
      <c r="X29" s="10"/>
      <c r="Y29" s="10"/>
      <c r="Z29" s="10"/>
      <c r="AA29" s="10"/>
      <c r="AB29" s="10"/>
    </row>
    <row r="30" spans="1:28" ht="15.75" customHeight="1" x14ac:dyDescent="0.3">
      <c r="A30" s="19" t="s">
        <v>534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18.72</v>
      </c>
      <c r="W30" s="9">
        <v>1.58</v>
      </c>
      <c r="X30" s="10"/>
      <c r="Y30" s="10"/>
      <c r="Z30" s="10"/>
      <c r="AA30" s="10"/>
      <c r="AB30" s="10"/>
    </row>
    <row r="31" spans="1:28" ht="15.75" customHeight="1" x14ac:dyDescent="0.3">
      <c r="A31" s="19" t="s">
        <v>535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46.86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8.09</v>
      </c>
      <c r="W31" s="9">
        <v>0</v>
      </c>
    </row>
    <row r="32" spans="1:28" ht="15.75" customHeight="1" x14ac:dyDescent="0.3">
      <c r="A32" s="19" t="s">
        <v>536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9.24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24.61</v>
      </c>
      <c r="W32" s="9">
        <v>0</v>
      </c>
      <c r="X32" s="10"/>
      <c r="Y32" s="10"/>
      <c r="Z32" s="10"/>
      <c r="AA32" s="10"/>
      <c r="AB32" s="10"/>
    </row>
    <row r="33" spans="1:28" ht="15.75" customHeight="1" x14ac:dyDescent="0.3">
      <c r="A33" s="19" t="s">
        <v>537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21.53</v>
      </c>
      <c r="H33" s="9">
        <v>0</v>
      </c>
      <c r="I33" s="9">
        <v>0</v>
      </c>
      <c r="J33" s="9">
        <v>0</v>
      </c>
      <c r="K33" s="9">
        <v>0</v>
      </c>
      <c r="L33" s="9">
        <v>18.200301735490616</v>
      </c>
      <c r="M33" s="9">
        <v>0</v>
      </c>
      <c r="N33" s="9">
        <v>0</v>
      </c>
      <c r="O33" s="9">
        <v>0</v>
      </c>
      <c r="P33" s="9">
        <v>12.62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7.58</v>
      </c>
      <c r="W33" s="9">
        <v>0</v>
      </c>
      <c r="X33" s="10"/>
      <c r="Y33" s="10"/>
      <c r="Z33" s="10"/>
      <c r="AA33" s="10"/>
      <c r="AB33" s="10"/>
    </row>
    <row r="34" spans="1:28" ht="15.75" customHeight="1" x14ac:dyDescent="0.3">
      <c r="A34" s="19" t="s">
        <v>352</v>
      </c>
      <c r="B34" s="9">
        <v>5.96</v>
      </c>
      <c r="C34" s="9">
        <v>1.93</v>
      </c>
      <c r="D34" s="9">
        <v>2.57</v>
      </c>
      <c r="E34" s="9">
        <v>8.11</v>
      </c>
      <c r="F34" s="9">
        <v>23.29</v>
      </c>
      <c r="G34" s="9">
        <v>0</v>
      </c>
      <c r="H34" s="9">
        <v>0</v>
      </c>
      <c r="I34" s="9">
        <v>0</v>
      </c>
      <c r="J34" s="9">
        <v>13.52</v>
      </c>
      <c r="K34" s="9">
        <v>0</v>
      </c>
      <c r="L34" s="9">
        <v>8.9998760061308705</v>
      </c>
      <c r="M34" s="9">
        <v>44.43</v>
      </c>
      <c r="N34" s="9">
        <v>12.35</v>
      </c>
      <c r="O34" s="9">
        <v>0</v>
      </c>
      <c r="P34" s="9">
        <v>2.0499999999999998</v>
      </c>
      <c r="Q34" s="9">
        <v>1.87</v>
      </c>
      <c r="R34" s="9">
        <v>6.63</v>
      </c>
      <c r="S34" s="9">
        <v>16.23</v>
      </c>
      <c r="T34" s="9">
        <v>10.74</v>
      </c>
      <c r="U34" s="9">
        <v>5.56</v>
      </c>
      <c r="V34" s="9">
        <v>43.82</v>
      </c>
      <c r="W34" s="9">
        <v>6.83</v>
      </c>
    </row>
    <row r="35" spans="1:28" ht="15.75" customHeight="1" x14ac:dyDescent="0.3">
      <c r="A35" s="19" t="s">
        <v>503</v>
      </c>
      <c r="B35" s="9">
        <v>3.72</v>
      </c>
      <c r="C35" s="9">
        <v>3.11</v>
      </c>
      <c r="D35" s="9">
        <v>2.21</v>
      </c>
      <c r="E35" s="9">
        <v>7.74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</row>
    <row r="36" spans="1:28" ht="15.75" customHeight="1" x14ac:dyDescent="0.3">
      <c r="A36" s="19" t="s">
        <v>504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51.6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spans="1:28" ht="15.75" customHeight="1" x14ac:dyDescent="0.3">
      <c r="A37" s="19" t="s">
        <v>235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58.298090413213259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93.02</v>
      </c>
      <c r="V37" s="9">
        <v>0</v>
      </c>
      <c r="W37" s="9">
        <v>0</v>
      </c>
    </row>
    <row r="38" spans="1:28" ht="15.75" customHeight="1" x14ac:dyDescent="0.3">
      <c r="A38" s="19" t="s">
        <v>236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36.14</v>
      </c>
      <c r="U38" s="9">
        <v>50.93</v>
      </c>
      <c r="V38" s="9">
        <v>0</v>
      </c>
      <c r="W38" s="9">
        <v>0</v>
      </c>
    </row>
    <row r="39" spans="1:28" ht="15.75" customHeight="1" x14ac:dyDescent="0.3">
      <c r="A39" s="19" t="s">
        <v>237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9.1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10"/>
      <c r="Y39" s="10"/>
      <c r="Z39" s="10"/>
      <c r="AA39" s="10"/>
      <c r="AB39" s="10"/>
    </row>
    <row r="40" spans="1:28" ht="15.75" customHeight="1" x14ac:dyDescent="0.3">
      <c r="A40" s="19" t="s">
        <v>238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4.72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pans="1:28" ht="15.75" customHeight="1" x14ac:dyDescent="0.3">
      <c r="A41" s="19" t="s">
        <v>505</v>
      </c>
      <c r="B41" s="9">
        <v>0</v>
      </c>
      <c r="C41" s="9">
        <v>0</v>
      </c>
      <c r="D41" s="9">
        <v>0</v>
      </c>
      <c r="E41" s="9">
        <v>0</v>
      </c>
      <c r="F41" s="9">
        <v>7.41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  <row r="42" spans="1:28" ht="15.75" customHeight="1" x14ac:dyDescent="0.3">
      <c r="A42" s="32" t="s">
        <v>506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30.952854257874545</v>
      </c>
      <c r="M42" s="9">
        <v>0</v>
      </c>
      <c r="N42" s="9">
        <v>0</v>
      </c>
      <c r="O42" s="9">
        <v>6.63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</row>
    <row r="43" spans="1:28" ht="15.75" customHeight="1" x14ac:dyDescent="0.3">
      <c r="A43" s="19" t="s">
        <v>239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54.376252975732065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1.0900000000000001</v>
      </c>
    </row>
    <row r="44" spans="1:28" ht="15.75" customHeight="1" x14ac:dyDescent="0.3">
      <c r="A44" s="19" t="s">
        <v>240</v>
      </c>
      <c r="B44" s="9">
        <v>367.95</v>
      </c>
      <c r="C44" s="9">
        <v>335.63</v>
      </c>
      <c r="D44" s="9">
        <v>195.95</v>
      </c>
      <c r="E44" s="9">
        <v>3544.92</v>
      </c>
      <c r="F44" s="9">
        <v>419.29</v>
      </c>
      <c r="G44" s="9">
        <v>268.38</v>
      </c>
      <c r="H44" s="9">
        <v>141.35</v>
      </c>
      <c r="I44" s="9">
        <v>0</v>
      </c>
      <c r="J44" s="9">
        <v>0</v>
      </c>
      <c r="K44" s="9">
        <v>0</v>
      </c>
      <c r="L44" s="9">
        <v>493.5423060804435</v>
      </c>
      <c r="M44" s="9">
        <v>53.37</v>
      </c>
      <c r="N44" s="9">
        <v>110.76</v>
      </c>
      <c r="O44" s="9">
        <v>124.7</v>
      </c>
      <c r="P44" s="9">
        <v>56.9</v>
      </c>
      <c r="Q44" s="9">
        <v>32.96</v>
      </c>
      <c r="R44" s="9">
        <v>17.89</v>
      </c>
      <c r="S44" s="9">
        <v>117.03</v>
      </c>
      <c r="T44" s="9">
        <v>137.05000000000001</v>
      </c>
      <c r="U44" s="9">
        <v>259.05</v>
      </c>
      <c r="V44" s="9">
        <v>0</v>
      </c>
      <c r="W44" s="9">
        <v>0</v>
      </c>
    </row>
    <row r="45" spans="1:28" ht="15.75" customHeight="1" x14ac:dyDescent="0.3">
      <c r="A45" s="19" t="s">
        <v>507</v>
      </c>
      <c r="B45" s="9">
        <v>261.38</v>
      </c>
      <c r="C45" s="9">
        <v>223.04</v>
      </c>
      <c r="D45" s="9">
        <v>116.59</v>
      </c>
      <c r="E45" s="9">
        <v>0</v>
      </c>
      <c r="F45" s="9">
        <v>0</v>
      </c>
      <c r="G45" s="9">
        <v>6.12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</row>
    <row r="46" spans="1:28" ht="15.75" customHeight="1" x14ac:dyDescent="0.3">
      <c r="A46" s="19" t="s">
        <v>27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46.919011472563703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</row>
    <row r="47" spans="1:28" ht="15.75" customHeight="1" x14ac:dyDescent="0.3">
      <c r="A47" s="3" t="s">
        <v>68</v>
      </c>
      <c r="B47" s="8">
        <f>SUM(B2:B46)</f>
        <v>639.01</v>
      </c>
      <c r="C47" s="8">
        <f>SUM(C2:C46)</f>
        <v>563.71</v>
      </c>
      <c r="D47" s="8">
        <f t="shared" ref="D47:W47" si="0">SUM(D2:D46)</f>
        <v>317.32</v>
      </c>
      <c r="E47" s="8">
        <f t="shared" si="0"/>
        <v>3560.77</v>
      </c>
      <c r="F47" s="8">
        <f t="shared" si="0"/>
        <v>449.99</v>
      </c>
      <c r="G47" s="8">
        <f t="shared" si="0"/>
        <v>435.16999999999996</v>
      </c>
      <c r="H47" s="8">
        <f t="shared" si="0"/>
        <v>277.65999999999997</v>
      </c>
      <c r="I47" s="8">
        <f t="shared" si="0"/>
        <v>2.93</v>
      </c>
      <c r="J47" s="8">
        <f t="shared" si="0"/>
        <v>2268.75</v>
      </c>
      <c r="K47" s="8">
        <f t="shared" si="0"/>
        <v>171.79</v>
      </c>
      <c r="L47" s="8">
        <f t="shared" si="0"/>
        <v>801.77313227377795</v>
      </c>
      <c r="M47" s="8">
        <f t="shared" si="0"/>
        <v>106.24</v>
      </c>
      <c r="N47" s="8">
        <f t="shared" si="0"/>
        <v>123.11</v>
      </c>
      <c r="O47" s="8">
        <f t="shared" si="0"/>
        <v>153.49</v>
      </c>
      <c r="P47" s="8">
        <f t="shared" si="0"/>
        <v>344.29</v>
      </c>
      <c r="Q47" s="8">
        <f t="shared" si="0"/>
        <v>81.87</v>
      </c>
      <c r="R47" s="8">
        <f t="shared" si="0"/>
        <v>38.340000000000003</v>
      </c>
      <c r="S47" s="8">
        <f t="shared" si="0"/>
        <v>273.20999999999998</v>
      </c>
      <c r="T47" s="8">
        <f t="shared" si="0"/>
        <v>183.93</v>
      </c>
      <c r="U47" s="8">
        <f t="shared" si="0"/>
        <v>482.70000000000005</v>
      </c>
      <c r="V47" s="8">
        <f t="shared" si="0"/>
        <v>7365.34</v>
      </c>
      <c r="W47" s="8">
        <f t="shared" si="0"/>
        <v>508.60999999999996</v>
      </c>
    </row>
    <row r="48" spans="1:28" ht="15.75" customHeight="1" x14ac:dyDescent="0.3">
      <c r="A48" s="7" t="s">
        <v>241</v>
      </c>
    </row>
  </sheetData>
  <phoneticPr fontId="3" type="noConversion"/>
  <conditionalFormatting sqref="A46:A47">
    <cfRule type="duplicateValues" dxfId="1" priority="1"/>
  </conditionalFormatting>
  <conditionalFormatting sqref="A48 A2:A45">
    <cfRule type="duplicateValues" dxfId="0" priority="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 곡류 및 그제품</vt:lpstr>
      <vt:lpstr>2. 감자 및 전분류</vt:lpstr>
      <vt:lpstr>3. 두류</vt:lpstr>
      <vt:lpstr>4. 채소류</vt:lpstr>
      <vt:lpstr>5. 과일류</vt:lpstr>
      <vt:lpstr>6. 차류</vt:lpstr>
      <vt:lpstr>7. 기타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2019-01-24T02:14:21Z</dcterms:created>
  <dcterms:modified xsi:type="dcterms:W3CDTF">2019-06-18T05:45:58Z</dcterms:modified>
</cp:coreProperties>
</file>